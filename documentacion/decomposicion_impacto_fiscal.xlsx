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rancisco.henriquez\Mis documentos\proyectos\equilibrio_general\eq_general\documentacion\"/>
    </mc:Choice>
  </mc:AlternateContent>
  <xr:revisionPtr revIDLastSave="0" documentId="13_ncr:1_{F811940A-2349-46A2-AF6F-21A013F59FFA}" xr6:coauthVersionLast="47" xr6:coauthVersionMax="47" xr10:uidLastSave="{00000000-0000-0000-0000-000000000000}"/>
  <bookViews>
    <workbookView xWindow="28680" yWindow="-120" windowWidth="19440" windowHeight="14880" tabRatio="500" activeTab="1" xr2:uid="{00000000-000D-0000-FFFF-FFFF00000000}"/>
  </bookViews>
  <sheets>
    <sheet name="IVA" sheetId="1" r:id="rId1"/>
    <sheet name="IDPC" sheetId="3" r:id="rId2"/>
    <sheet name="PIT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B10" i="3"/>
  <c r="E9" i="3"/>
  <c r="G9" i="3" s="1"/>
  <c r="E8" i="3"/>
  <c r="G8" i="3" s="1"/>
  <c r="E7" i="3"/>
  <c r="G7" i="3" s="1"/>
  <c r="E6" i="3"/>
  <c r="G6" i="3" s="1"/>
  <c r="E5" i="3"/>
  <c r="G5" i="3" s="1"/>
  <c r="E4" i="3"/>
  <c r="G4" i="3" s="1"/>
  <c r="F10" i="2"/>
  <c r="D10" i="2"/>
  <c r="C10" i="2"/>
  <c r="B10" i="2"/>
  <c r="E9" i="2"/>
  <c r="G9" i="2" s="1"/>
  <c r="E8" i="2"/>
  <c r="G8" i="2" s="1"/>
  <c r="E7" i="2"/>
  <c r="G7" i="2" s="1"/>
  <c r="E6" i="2"/>
  <c r="G6" i="2" s="1"/>
  <c r="E5" i="2"/>
  <c r="G5" i="2" s="1"/>
  <c r="E4" i="2"/>
  <c r="E10" i="2" s="1"/>
  <c r="F10" i="1"/>
  <c r="D10" i="1"/>
  <c r="C10" i="1"/>
  <c r="B10" i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G10" i="1" s="1"/>
  <c r="G10" i="3" l="1"/>
  <c r="G4" i="2"/>
  <c r="G10" i="2" s="1"/>
  <c r="E10" i="1"/>
</calcChain>
</file>

<file path=xl/sharedStrings.xml><?xml version="1.0" encoding="utf-8"?>
<sst xmlns="http://schemas.openxmlformats.org/spreadsheetml/2006/main" count="48" uniqueCount="18">
  <si>
    <t>Descomposición del impacto fiscal del incremento del IVA (puntos del PIB nominal inicial)</t>
  </si>
  <si>
    <t>Impuesto</t>
  </si>
  <si>
    <t>Cambio observado</t>
  </si>
  <si>
    <t>Efecto tasa</t>
  </si>
  <si>
    <t>Efecto base</t>
  </si>
  <si>
    <t>Tasa más base</t>
  </si>
  <si>
    <t>Efecto precio</t>
  </si>
  <si>
    <t>Residuo</t>
  </si>
  <si>
    <t>IVA</t>
  </si>
  <si>
    <t>IDPC (FIRMTAX)</t>
  </si>
  <si>
    <t>PIT</t>
  </si>
  <si>
    <t>Impuestos a la producción</t>
  </si>
  <si>
    <t>Impuestos específicos</t>
  </si>
  <si>
    <t>Aranceles</t>
  </si>
  <si>
    <t>Total</t>
  </si>
  <si>
    <t>Nota: Tasa más base = Efecto tasa + Efecto base. Residuo = Cambio observado − (Tasa más base + Efecto precio). Descomposición exacta tipo Shapley-Sun (Sun, Su y Sun) para productos trilineales R = τ·P·Q; residuos de orden 1e-6 a 1e-16 atribuibles a redondeo de las cifras reportadas.</t>
  </si>
  <si>
    <t>Descomposición del impacto fiscal del aumento del PIT (puntos del PIB nominal inicial)</t>
  </si>
  <si>
    <t>Descomposición del impacto fiscal de la disminución del IDPC (puntos del PIB nominal inicial)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</si>
</sst>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;\(0.0000\);0.0000"/>
    <numFmt numFmtId="165" formatCode="0.000000;\(0.000000\);0.000000"/>
  </numFmts>
  <fonts count="6" x14ac:knownFonts="1">
    <font>
      <sz val="11"/>
      <color theme="1"/>
      <name val="Calibri"/>
      <family val="2"/>
      <charset val="1"/>
    </font>
    <font>
      <b/>
      <sz val="13"/>
      <color rgb="FF1F3864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9"/>
      <color rgb="FF7F7F7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zoomScaleNormal="100" workbookViewId="0">
      <pane ySplit="3" topLeftCell="A4" activePane="bottomLeft" state="frozen"/>
      <selection pane="bottomLeft" activeCell="A3" sqref="A3:F10"/>
    </sheetView>
  </sheetViews>
  <sheetFormatPr baseColWidth="10" defaultColWidth="8.7109375" defaultRowHeight="15" x14ac:dyDescent="0.25"/>
  <cols>
    <col min="1" max="1" width="24.28515625" customWidth="1"/>
    <col min="2" max="2" width="10.5703125" customWidth="1"/>
    <col min="3" max="3" width="7.42578125" customWidth="1"/>
    <col min="4" max="4" width="9.140625" customWidth="1"/>
    <col min="5" max="5" width="11.140625" customWidth="1"/>
    <col min="6" max="6" width="10.85546875" customWidth="1"/>
    <col min="7" max="7" width="18" customWidth="1"/>
  </cols>
  <sheetData>
    <row r="1" spans="1:7" ht="30" customHeight="1" x14ac:dyDescent="0.25">
      <c r="A1" s="2" t="s">
        <v>0</v>
      </c>
      <c r="B1" s="2"/>
      <c r="C1" s="2"/>
      <c r="D1" s="2"/>
      <c r="E1" s="2"/>
      <c r="F1" s="2"/>
      <c r="G1" s="2"/>
    </row>
    <row r="3" spans="1:7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5">
        <v>0.2334</v>
      </c>
      <c r="C4" s="5">
        <v>0.44840000000000002</v>
      </c>
      <c r="D4" s="5">
        <v>-6.7500000000000004E-2</v>
      </c>
      <c r="E4" s="5">
        <f t="shared" ref="E4:E9" si="0">C4+D4</f>
        <v>0.38090000000000002</v>
      </c>
      <c r="F4" s="5">
        <v>-0.14760000000000001</v>
      </c>
      <c r="G4" s="6">
        <f t="shared" ref="G4:G9" si="1">B4-(E4+F4)</f>
        <v>9.9999999999988987E-5</v>
      </c>
    </row>
    <row r="5" spans="1:7" x14ac:dyDescent="0.25">
      <c r="A5" s="4" t="s">
        <v>9</v>
      </c>
      <c r="B5" s="5">
        <v>-0.12540000000000001</v>
      </c>
      <c r="C5" s="5">
        <v>0</v>
      </c>
      <c r="D5" s="5">
        <v>0</v>
      </c>
      <c r="E5" s="5">
        <f t="shared" si="0"/>
        <v>0</v>
      </c>
      <c r="F5" s="5">
        <v>-0.12540000000000001</v>
      </c>
      <c r="G5" s="6">
        <f t="shared" si="1"/>
        <v>0</v>
      </c>
    </row>
    <row r="6" spans="1:7" x14ac:dyDescent="0.25">
      <c r="A6" s="4" t="s">
        <v>10</v>
      </c>
      <c r="B6" s="5">
        <v>-4.2500000000000003E-2</v>
      </c>
      <c r="C6" s="5">
        <v>0</v>
      </c>
      <c r="D6" s="5">
        <v>-3.3099999999999997E-2</v>
      </c>
      <c r="E6" s="5">
        <f t="shared" si="0"/>
        <v>-3.3099999999999997E-2</v>
      </c>
      <c r="F6" s="5">
        <v>-9.4000000000000004E-3</v>
      </c>
      <c r="G6" s="6">
        <f t="shared" si="1"/>
        <v>0</v>
      </c>
    </row>
    <row r="7" spans="1:7" x14ac:dyDescent="0.25">
      <c r="A7" s="4" t="s">
        <v>11</v>
      </c>
      <c r="B7" s="5">
        <v>-4.3099999999999999E-2</v>
      </c>
      <c r="C7" s="5">
        <v>0</v>
      </c>
      <c r="D7" s="5">
        <v>-2.07E-2</v>
      </c>
      <c r="E7" s="5">
        <f t="shared" si="0"/>
        <v>-2.07E-2</v>
      </c>
      <c r="F7" s="5">
        <v>-2.24E-2</v>
      </c>
      <c r="G7" s="6">
        <f t="shared" si="1"/>
        <v>0</v>
      </c>
    </row>
    <row r="8" spans="1:7" x14ac:dyDescent="0.25">
      <c r="A8" s="4" t="s">
        <v>12</v>
      </c>
      <c r="B8" s="5">
        <v>0</v>
      </c>
      <c r="C8" s="5">
        <v>0</v>
      </c>
      <c r="D8" s="5">
        <v>0</v>
      </c>
      <c r="E8" s="5">
        <f t="shared" si="0"/>
        <v>0</v>
      </c>
      <c r="F8" s="5">
        <v>0</v>
      </c>
      <c r="G8" s="6">
        <f t="shared" si="1"/>
        <v>0</v>
      </c>
    </row>
    <row r="9" spans="1:7" x14ac:dyDescent="0.25">
      <c r="A9" s="4" t="s">
        <v>13</v>
      </c>
      <c r="B9" s="5">
        <v>-1.4800000000000001E-2</v>
      </c>
      <c r="C9" s="5">
        <v>0</v>
      </c>
      <c r="D9" s="5">
        <v>-3.3999999999999998E-3</v>
      </c>
      <c r="E9" s="5">
        <f t="shared" si="0"/>
        <v>-3.3999999999999998E-3</v>
      </c>
      <c r="F9" s="5">
        <v>-1.14E-2</v>
      </c>
      <c r="G9" s="6">
        <f t="shared" si="1"/>
        <v>0</v>
      </c>
    </row>
    <row r="10" spans="1:7" x14ac:dyDescent="0.25">
      <c r="A10" s="7" t="s">
        <v>14</v>
      </c>
      <c r="B10" s="8">
        <f t="shared" ref="B10:G10" si="2">SUM(B4:B9)</f>
        <v>7.5999999999999748E-3</v>
      </c>
      <c r="C10" s="8">
        <f t="shared" si="2"/>
        <v>0.44840000000000002</v>
      </c>
      <c r="D10" s="8">
        <f t="shared" si="2"/>
        <v>-0.12469999999999999</v>
      </c>
      <c r="E10" s="8">
        <f t="shared" si="2"/>
        <v>0.32369999999999999</v>
      </c>
      <c r="F10" s="8">
        <f t="shared" si="2"/>
        <v>-0.31620000000000004</v>
      </c>
      <c r="G10" s="9">
        <f t="shared" si="2"/>
        <v>9.9999999999988987E-5</v>
      </c>
    </row>
    <row r="12" spans="1:7" ht="39.75" customHeight="1" x14ac:dyDescent="0.25">
      <c r="A12" s="1" t="s">
        <v>15</v>
      </c>
      <c r="B12" s="1"/>
      <c r="C12" s="1"/>
      <c r="D12" s="1"/>
      <c r="E12" s="1"/>
      <c r="F12" s="1"/>
      <c r="G12" s="1"/>
    </row>
  </sheetData>
  <mergeCells count="2">
    <mergeCell ref="A1:G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tabSelected="1" zoomScaleNormal="100" workbookViewId="0">
      <pane ySplit="3" topLeftCell="A4" activePane="bottomLeft" state="frozen"/>
      <selection pane="bottomLeft" activeCell="A3" sqref="A3:F10"/>
    </sheetView>
  </sheetViews>
  <sheetFormatPr baseColWidth="10" defaultColWidth="8.7109375" defaultRowHeight="15" x14ac:dyDescent="0.25"/>
  <cols>
    <col min="1" max="1" width="24.42578125" customWidth="1"/>
    <col min="2" max="2" width="12" customWidth="1"/>
    <col min="3" max="3" width="8.5703125" customWidth="1"/>
    <col min="4" max="4" width="9.5703125" customWidth="1"/>
    <col min="5" max="5" width="9.28515625" customWidth="1"/>
    <col min="6" max="6" width="8.42578125" customWidth="1"/>
    <col min="7" max="7" width="18" customWidth="1"/>
  </cols>
  <sheetData>
    <row r="1" spans="1:7" ht="30" customHeight="1" x14ac:dyDescent="0.25">
      <c r="A1" s="2" t="s">
        <v>17</v>
      </c>
      <c r="B1" s="2"/>
      <c r="C1" s="2"/>
      <c r="D1" s="2"/>
      <c r="E1" s="2"/>
      <c r="F1" s="2"/>
      <c r="G1" s="2"/>
    </row>
    <row r="3" spans="1:7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5">
        <v>3.2500000000000001E-2</v>
      </c>
      <c r="C4" s="5">
        <v>0</v>
      </c>
      <c r="D4" s="5">
        <v>1.3599999999999999E-2</v>
      </c>
      <c r="E4" s="5">
        <f t="shared" ref="E4:E9" si="0">C4+D4</f>
        <v>1.3599999999999999E-2</v>
      </c>
      <c r="F4" s="5">
        <v>1.89E-2</v>
      </c>
      <c r="G4" s="6">
        <f t="shared" ref="G4:G9" si="1">B4-(E4+F4)</f>
        <v>0</v>
      </c>
    </row>
    <row r="5" spans="1:7" x14ac:dyDescent="0.25">
      <c r="A5" s="4" t="s">
        <v>9</v>
      </c>
      <c r="B5" s="5">
        <v>-0.14560000000000001</v>
      </c>
      <c r="C5" s="5">
        <v>-0.1618</v>
      </c>
      <c r="D5" s="5">
        <v>0</v>
      </c>
      <c r="E5" s="5">
        <f t="shared" si="0"/>
        <v>-0.1618</v>
      </c>
      <c r="F5" s="5">
        <v>1.6199999999999999E-2</v>
      </c>
      <c r="G5" s="6">
        <f t="shared" si="1"/>
        <v>0</v>
      </c>
    </row>
    <row r="6" spans="1:7" x14ac:dyDescent="0.25">
      <c r="A6" s="4" t="s">
        <v>10</v>
      </c>
      <c r="B6" s="5">
        <v>5.7000000000000002E-3</v>
      </c>
      <c r="C6" s="5">
        <v>0</v>
      </c>
      <c r="D6" s="5">
        <v>4.4000000000000003E-3</v>
      </c>
      <c r="E6" s="5">
        <f t="shared" si="0"/>
        <v>4.4000000000000003E-3</v>
      </c>
      <c r="F6" s="5">
        <v>1.1999999999999999E-3</v>
      </c>
      <c r="G6" s="6">
        <f t="shared" si="1"/>
        <v>1.0000000000000026E-4</v>
      </c>
    </row>
    <row r="7" spans="1:7" x14ac:dyDescent="0.25">
      <c r="A7" s="4" t="s">
        <v>11</v>
      </c>
      <c r="B7" s="5">
        <v>5.4000000000000003E-3</v>
      </c>
      <c r="C7" s="5">
        <v>0</v>
      </c>
      <c r="D7" s="5">
        <v>2.5000000000000001E-3</v>
      </c>
      <c r="E7" s="5">
        <f t="shared" si="0"/>
        <v>2.5000000000000001E-3</v>
      </c>
      <c r="F7" s="5">
        <v>3.0000000000000001E-3</v>
      </c>
      <c r="G7" s="6">
        <f t="shared" si="1"/>
        <v>-9.9999999999999395E-5</v>
      </c>
    </row>
    <row r="8" spans="1:7" x14ac:dyDescent="0.25">
      <c r="A8" s="4" t="s">
        <v>12</v>
      </c>
      <c r="B8" s="5">
        <v>0</v>
      </c>
      <c r="C8" s="5">
        <v>0</v>
      </c>
      <c r="D8" s="5">
        <v>0</v>
      </c>
      <c r="E8" s="5">
        <f t="shared" si="0"/>
        <v>0</v>
      </c>
      <c r="F8" s="5">
        <v>0</v>
      </c>
      <c r="G8" s="6">
        <f t="shared" si="1"/>
        <v>0</v>
      </c>
    </row>
    <row r="9" spans="1:7" x14ac:dyDescent="0.25">
      <c r="A9" s="4" t="s">
        <v>13</v>
      </c>
      <c r="B9" s="5">
        <v>2E-3</v>
      </c>
      <c r="C9" s="5">
        <v>0</v>
      </c>
      <c r="D9" s="5">
        <v>5.0000000000000001E-4</v>
      </c>
      <c r="E9" s="5">
        <f t="shared" si="0"/>
        <v>5.0000000000000001E-4</v>
      </c>
      <c r="F9" s="5">
        <v>1.5E-3</v>
      </c>
      <c r="G9" s="6">
        <f t="shared" si="1"/>
        <v>0</v>
      </c>
    </row>
    <row r="10" spans="1:7" x14ac:dyDescent="0.25">
      <c r="A10" s="7" t="s">
        <v>14</v>
      </c>
      <c r="B10" s="8">
        <f t="shared" ref="B10:G10" si="2">SUM(B4:B9)</f>
        <v>-0.1</v>
      </c>
      <c r="C10" s="8">
        <f t="shared" si="2"/>
        <v>-0.1618</v>
      </c>
      <c r="D10" s="8">
        <f t="shared" si="2"/>
        <v>2.0999999999999998E-2</v>
      </c>
      <c r="E10" s="8">
        <f t="shared" si="2"/>
        <v>-0.14080000000000001</v>
      </c>
      <c r="F10" s="8">
        <f t="shared" si="2"/>
        <v>4.0800000000000003E-2</v>
      </c>
      <c r="G10" s="9">
        <f t="shared" si="2"/>
        <v>8.6736173798840355E-19</v>
      </c>
    </row>
    <row r="12" spans="1:7" ht="39.75" customHeight="1" x14ac:dyDescent="0.25">
      <c r="A12" s="1" t="s">
        <v>15</v>
      </c>
      <c r="B12" s="1"/>
      <c r="C12" s="1"/>
      <c r="D12" s="1"/>
      <c r="E12" s="1"/>
      <c r="F12" s="1"/>
      <c r="G12" s="1"/>
    </row>
  </sheetData>
  <mergeCells count="2">
    <mergeCell ref="A1:G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zoomScaleNormal="100" workbookViewId="0">
      <pane ySplit="3" topLeftCell="A4" activePane="bottomLeft" state="frozen"/>
      <selection pane="bottomLeft" activeCell="A3" sqref="A3:F10"/>
    </sheetView>
  </sheetViews>
  <sheetFormatPr baseColWidth="10" defaultColWidth="8.7109375" defaultRowHeight="15" x14ac:dyDescent="0.25"/>
  <cols>
    <col min="1" max="1" width="24.28515625" bestFit="1" customWidth="1"/>
    <col min="2" max="2" width="13.42578125" customWidth="1"/>
    <col min="3" max="3" width="8.140625" customWidth="1"/>
    <col min="4" max="4" width="9" customWidth="1"/>
    <col min="5" max="5" width="10.7109375" customWidth="1"/>
    <col min="6" max="6" width="11.42578125" customWidth="1"/>
    <col min="7" max="7" width="18" customWidth="1"/>
  </cols>
  <sheetData>
    <row r="1" spans="1:7" ht="30" customHeight="1" x14ac:dyDescent="0.25">
      <c r="A1" s="2" t="s">
        <v>16</v>
      </c>
      <c r="B1" s="2"/>
      <c r="C1" s="2"/>
      <c r="D1" s="2"/>
      <c r="E1" s="2"/>
      <c r="F1" s="2"/>
      <c r="G1" s="2"/>
    </row>
    <row r="3" spans="1:7" ht="30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5">
        <v>-8.3199999999999996E-2</v>
      </c>
      <c r="C4" s="5">
        <v>0</v>
      </c>
      <c r="D4" s="5">
        <v>-3.1899999999999998E-2</v>
      </c>
      <c r="E4" s="5">
        <f t="shared" ref="E4:E9" si="0">C4+D4</f>
        <v>-3.1899999999999998E-2</v>
      </c>
      <c r="F4" s="5">
        <v>-5.1299999999999998E-2</v>
      </c>
      <c r="G4" s="6">
        <f t="shared" ref="G4:G9" si="1">B4-(E4+F4)</f>
        <v>0</v>
      </c>
    </row>
    <row r="5" spans="1:7" x14ac:dyDescent="0.25">
      <c r="A5" s="4" t="s">
        <v>9</v>
      </c>
      <c r="B5" s="5">
        <v>-4.48E-2</v>
      </c>
      <c r="C5" s="5">
        <v>0</v>
      </c>
      <c r="D5" s="5">
        <v>0</v>
      </c>
      <c r="E5" s="5">
        <f t="shared" si="0"/>
        <v>0</v>
      </c>
      <c r="F5" s="5">
        <v>-4.48E-2</v>
      </c>
      <c r="G5" s="6">
        <f t="shared" si="1"/>
        <v>0</v>
      </c>
    </row>
    <row r="6" spans="1:7" x14ac:dyDescent="0.25">
      <c r="A6" s="4" t="s">
        <v>10</v>
      </c>
      <c r="B6" s="5">
        <v>0.1641</v>
      </c>
      <c r="C6" s="5">
        <v>0.18029999999999999</v>
      </c>
      <c r="D6" s="5">
        <v>-1.26E-2</v>
      </c>
      <c r="E6" s="5">
        <f t="shared" si="0"/>
        <v>0.16769999999999999</v>
      </c>
      <c r="F6" s="5">
        <v>-3.5000000000000001E-3</v>
      </c>
      <c r="G6" s="6">
        <f t="shared" si="1"/>
        <v>-9.9999999999988987E-5</v>
      </c>
    </row>
    <row r="7" spans="1:7" x14ac:dyDescent="0.25">
      <c r="A7" s="4" t="s">
        <v>11</v>
      </c>
      <c r="B7" s="5">
        <v>-1.6400000000000001E-2</v>
      </c>
      <c r="C7" s="5">
        <v>0</v>
      </c>
      <c r="D7" s="5">
        <v>-8.3999999999999995E-3</v>
      </c>
      <c r="E7" s="5">
        <f t="shared" si="0"/>
        <v>-8.3999999999999995E-3</v>
      </c>
      <c r="F7" s="5">
        <v>-8.0000000000000002E-3</v>
      </c>
      <c r="G7" s="6">
        <f t="shared" si="1"/>
        <v>0</v>
      </c>
    </row>
    <row r="8" spans="1:7" x14ac:dyDescent="0.25">
      <c r="A8" s="4" t="s">
        <v>12</v>
      </c>
      <c r="B8" s="5">
        <v>0</v>
      </c>
      <c r="C8" s="5">
        <v>0</v>
      </c>
      <c r="D8" s="5">
        <v>0</v>
      </c>
      <c r="E8" s="5">
        <f t="shared" si="0"/>
        <v>0</v>
      </c>
      <c r="F8" s="5">
        <v>0</v>
      </c>
      <c r="G8" s="6">
        <f t="shared" si="1"/>
        <v>0</v>
      </c>
    </row>
    <row r="9" spans="1:7" x14ac:dyDescent="0.25">
      <c r="A9" s="4" t="s">
        <v>13</v>
      </c>
      <c r="B9" s="5">
        <v>-5.0000000000000001E-3</v>
      </c>
      <c r="C9" s="5">
        <v>0</v>
      </c>
      <c r="D9" s="5">
        <v>-8.9999999999999998E-4</v>
      </c>
      <c r="E9" s="5">
        <f t="shared" si="0"/>
        <v>-8.9999999999999998E-4</v>
      </c>
      <c r="F9" s="5">
        <v>-4.1000000000000003E-3</v>
      </c>
      <c r="G9" s="6">
        <f t="shared" si="1"/>
        <v>0</v>
      </c>
    </row>
    <row r="10" spans="1:7" x14ac:dyDescent="0.25">
      <c r="A10" s="7" t="s">
        <v>14</v>
      </c>
      <c r="B10" s="8">
        <f t="shared" ref="B10:G10" si="2">SUM(B4:B9)</f>
        <v>1.4699999999999991E-2</v>
      </c>
      <c r="C10" s="8">
        <f t="shared" si="2"/>
        <v>0.18029999999999999</v>
      </c>
      <c r="D10" s="8">
        <f t="shared" si="2"/>
        <v>-5.3799999999999994E-2</v>
      </c>
      <c r="E10" s="8">
        <f t="shared" si="2"/>
        <v>0.12649999999999997</v>
      </c>
      <c r="F10" s="8">
        <f t="shared" si="2"/>
        <v>-0.11170000000000001</v>
      </c>
      <c r="G10" s="9">
        <f t="shared" si="2"/>
        <v>-9.9999999999988987E-5</v>
      </c>
    </row>
    <row r="12" spans="1:7" ht="39.75" customHeight="1" x14ac:dyDescent="0.25">
      <c r="A12" s="1" t="s">
        <v>15</v>
      </c>
      <c r="B12" s="1"/>
      <c r="C12" s="1"/>
      <c r="D12" s="1"/>
      <c r="E12" s="1"/>
      <c r="F12" s="1"/>
      <c r="G12" s="1"/>
    </row>
  </sheetData>
  <mergeCells count="2">
    <mergeCell ref="A1:G1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IVA</vt:lpstr>
      <vt:lpstr>IDPC</vt:lpstr>
      <vt:lpstr>PIT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Javier Henriquez Palacios</cp:lastModifiedBy>
  <cp:revision>0</cp:revision>
  <dcterms:created xsi:type="dcterms:W3CDTF">2026-08-26T12:49:19Z</dcterms:created>
  <dcterms:modified xsi:type="dcterms:W3CDTF">2026-08-26T12:56:14Z</dcterms:modified>
  <dc:language>en-US</dc:language>
</cp:coreProperties>
</file>