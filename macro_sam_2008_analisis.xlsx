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francisco.henriquez\Mis documentos\proyectos\equilibrio_general\eq_general\"/>
    </mc:Choice>
  </mc:AlternateContent>
  <xr:revisionPtr revIDLastSave="0" documentId="13_ncr:1_{2D630674-AA3B-4407-B45C-CFBD31E3C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ro_sam_2008_simp_3" sheetId="12" r:id="rId1"/>
    <sheet name="macro_sam_2008__simp_1" sheetId="10" r:id="rId2"/>
    <sheet name="macro_sam_2008__simp_2" sheetId="11" r:id="rId3"/>
    <sheet name="macro_sam_2008__simp" sheetId="9" r:id="rId4"/>
    <sheet name="macro_sam_2008_v1" sheetId="7" r:id="rId5"/>
    <sheet name="macro_sam_2008" sheetId="1" r:id="rId6"/>
  </sheets>
  <definedNames>
    <definedName name="solver_adj" localSheetId="2" hidden="1">macro_sam_2008__simp_2!$B$69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macro_sam_2008__simp_2!$B$69</definedName>
    <definedName name="solver_lhs2" localSheetId="2" hidden="1">macro_sam_2008__simp_2!$B$69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macro_sam_2008__simp_2!$F$71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hs1" localSheetId="2" hidden="1">0.7</definedName>
    <definedName name="solver_rhs2" localSheetId="2" hidden="1">0.3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2" l="1"/>
  <c r="U32" i="12"/>
  <c r="U31" i="12"/>
  <c r="K34" i="12"/>
  <c r="J34" i="12"/>
  <c r="I48" i="12"/>
  <c r="F56" i="12"/>
  <c r="D59" i="12"/>
  <c r="D58" i="12"/>
  <c r="C59" i="12"/>
  <c r="C58" i="12"/>
  <c r="B59" i="12"/>
  <c r="B58" i="12"/>
  <c r="D56" i="12"/>
  <c r="C56" i="12"/>
  <c r="B56" i="12"/>
  <c r="D54" i="12"/>
  <c r="C54" i="12"/>
  <c r="B54" i="12"/>
  <c r="D53" i="12"/>
  <c r="C53" i="12"/>
  <c r="B53" i="12"/>
  <c r="D51" i="12"/>
  <c r="C51" i="12"/>
  <c r="B51" i="12"/>
  <c r="R30" i="12"/>
  <c r="G48" i="12"/>
  <c r="F48" i="12"/>
  <c r="E48" i="12"/>
  <c r="J29" i="12"/>
  <c r="H29" i="12"/>
  <c r="I29" i="12"/>
  <c r="I30" i="12" s="1"/>
  <c r="S30" i="12"/>
  <c r="Q30" i="12"/>
  <c r="I43" i="12"/>
  <c r="B49" i="12"/>
  <c r="B45" i="12"/>
  <c r="C45" i="12" s="1"/>
  <c r="D45" i="12" s="1"/>
  <c r="E45" i="12" s="1"/>
  <c r="B44" i="12"/>
  <c r="C44" i="12" s="1"/>
  <c r="D44" i="12" s="1"/>
  <c r="E44" i="12" s="1"/>
  <c r="B43" i="12"/>
  <c r="C43" i="12" s="1"/>
  <c r="D43" i="12" s="1"/>
  <c r="E43" i="12" s="1"/>
  <c r="Y22" i="12"/>
  <c r="Y21" i="12"/>
  <c r="Y20" i="12"/>
  <c r="Y19" i="12"/>
  <c r="Y18" i="12"/>
  <c r="Y17" i="12"/>
  <c r="Y16" i="12"/>
  <c r="Y15" i="12"/>
  <c r="Y14" i="12"/>
  <c r="Y13" i="12"/>
  <c r="Y12" i="12"/>
  <c r="Y11" i="12"/>
  <c r="Y10" i="12"/>
  <c r="Y9" i="12"/>
  <c r="Y8" i="12"/>
  <c r="Y7" i="12"/>
  <c r="Y6" i="12"/>
  <c r="Y5" i="12"/>
  <c r="Y4" i="12"/>
  <c r="Y3" i="12"/>
  <c r="Y2" i="12"/>
  <c r="C47" i="12"/>
  <c r="B47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W3" i="12"/>
  <c r="W2" i="12"/>
  <c r="D75" i="11"/>
  <c r="D69" i="11"/>
  <c r="H67" i="11" s="1"/>
  <c r="J67" i="11" s="1"/>
  <c r="B70" i="11" s="1"/>
  <c r="D67" i="11" s="1"/>
  <c r="F67" i="11" s="1"/>
  <c r="A67" i="11"/>
  <c r="A66" i="11"/>
  <c r="A65" i="11"/>
  <c r="B67" i="11"/>
  <c r="B66" i="11"/>
  <c r="B65" i="11"/>
  <c r="J6" i="11"/>
  <c r="H10" i="11"/>
  <c r="M20" i="11"/>
  <c r="H20" i="11"/>
  <c r="F20" i="11"/>
  <c r="Q12" i="11"/>
  <c r="Q5" i="11"/>
  <c r="Q4" i="11"/>
  <c r="Q2" i="11"/>
  <c r="B62" i="11"/>
  <c r="B57" i="11"/>
  <c r="B47" i="11"/>
  <c r="J23" i="11"/>
  <c r="J22" i="11"/>
  <c r="M14" i="11"/>
  <c r="L14" i="11"/>
  <c r="K14" i="11"/>
  <c r="J14" i="11"/>
  <c r="I14" i="11"/>
  <c r="H14" i="11"/>
  <c r="G14" i="11"/>
  <c r="F14" i="11"/>
  <c r="E14" i="11"/>
  <c r="D14" i="11"/>
  <c r="B14" i="11"/>
  <c r="N13" i="11"/>
  <c r="C14" i="11"/>
  <c r="N11" i="11"/>
  <c r="N10" i="11"/>
  <c r="N9" i="11"/>
  <c r="N8" i="11"/>
  <c r="N7" i="11"/>
  <c r="N6" i="11"/>
  <c r="N5" i="11"/>
  <c r="N4" i="11"/>
  <c r="N3" i="11"/>
  <c r="N2" i="11"/>
  <c r="B25" i="12" l="1" a="1"/>
  <c r="O25" i="12" s="1"/>
  <c r="O27" i="12" s="1"/>
  <c r="F70" i="11"/>
  <c r="F71" i="11"/>
  <c r="D43" i="11"/>
  <c r="F43" i="11" s="1"/>
  <c r="D45" i="11"/>
  <c r="F45" i="11" s="1"/>
  <c r="D44" i="11"/>
  <c r="F44" i="11" s="1"/>
  <c r="N12" i="11"/>
  <c r="B16" i="11" s="1" a="1"/>
  <c r="D71" i="10"/>
  <c r="C71" i="10"/>
  <c r="B71" i="10"/>
  <c r="D66" i="10"/>
  <c r="C66" i="10"/>
  <c r="B66" i="10"/>
  <c r="D56" i="10"/>
  <c r="H54" i="10" s="1"/>
  <c r="J54" i="10" s="1"/>
  <c r="C56" i="10"/>
  <c r="B56" i="10"/>
  <c r="F54" i="10"/>
  <c r="F53" i="10"/>
  <c r="F52" i="10"/>
  <c r="H52" i="10" s="1"/>
  <c r="J52" i="10" s="1"/>
  <c r="N32" i="10"/>
  <c r="N31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D23" i="10"/>
  <c r="C23" i="10"/>
  <c r="B23" i="10"/>
  <c r="W22" i="10"/>
  <c r="W21" i="10"/>
  <c r="W20" i="10"/>
  <c r="W19" i="10"/>
  <c r="G18" i="10"/>
  <c r="G23" i="10" s="1"/>
  <c r="F18" i="10"/>
  <c r="F23" i="10" s="1"/>
  <c r="E18" i="10"/>
  <c r="E23" i="10" s="1"/>
  <c r="W17" i="10"/>
  <c r="W16" i="10"/>
  <c r="W15" i="10"/>
  <c r="W14" i="10"/>
  <c r="W13" i="10"/>
  <c r="W12" i="10"/>
  <c r="W11" i="10"/>
  <c r="W10" i="10"/>
  <c r="W9" i="10"/>
  <c r="W8" i="10"/>
  <c r="Y7" i="10"/>
  <c r="W7" i="10"/>
  <c r="Y6" i="10"/>
  <c r="W6" i="10"/>
  <c r="Y5" i="10"/>
  <c r="W5" i="10"/>
  <c r="W4" i="10"/>
  <c r="W3" i="10"/>
  <c r="W2" i="10"/>
  <c r="E25" i="12" l="1"/>
  <c r="E27" i="12" s="1"/>
  <c r="R25" i="12"/>
  <c r="R27" i="12" s="1"/>
  <c r="M25" i="12"/>
  <c r="M27" i="12" s="1"/>
  <c r="C25" i="12"/>
  <c r="U25" i="12"/>
  <c r="U27" i="12" s="1"/>
  <c r="H25" i="12"/>
  <c r="H27" i="12" s="1"/>
  <c r="K25" i="12"/>
  <c r="K27" i="12" s="1"/>
  <c r="N25" i="12"/>
  <c r="N27" i="12" s="1"/>
  <c r="S25" i="12"/>
  <c r="S27" i="12" s="1"/>
  <c r="D25" i="12"/>
  <c r="Q25" i="12"/>
  <c r="Q27" i="12" s="1"/>
  <c r="T25" i="12"/>
  <c r="T27" i="12" s="1"/>
  <c r="G25" i="12"/>
  <c r="G27" i="12" s="1"/>
  <c r="J25" i="12"/>
  <c r="J27" i="12" s="1"/>
  <c r="P25" i="12"/>
  <c r="P27" i="12" s="1"/>
  <c r="F25" i="12"/>
  <c r="F27" i="12" s="1"/>
  <c r="I25" i="12"/>
  <c r="I27" i="12" s="1"/>
  <c r="V25" i="12"/>
  <c r="V27" i="12" s="1"/>
  <c r="B25" i="12"/>
  <c r="L25" i="12"/>
  <c r="L27" i="12" s="1"/>
  <c r="B16" i="11"/>
  <c r="B17" i="11" s="1"/>
  <c r="F16" i="11"/>
  <c r="D16" i="11"/>
  <c r="D17" i="11" s="1"/>
  <c r="I16" i="11"/>
  <c r="I17" i="11" s="1"/>
  <c r="M16" i="11"/>
  <c r="M17" i="11" s="1"/>
  <c r="K16" i="11"/>
  <c r="H16" i="11"/>
  <c r="E16" i="11"/>
  <c r="C16" i="11"/>
  <c r="C17" i="11" s="1"/>
  <c r="G16" i="11"/>
  <c r="G17" i="11" s="1"/>
  <c r="L16" i="11"/>
  <c r="L17" i="11" s="1"/>
  <c r="J16" i="11"/>
  <c r="H53" i="10"/>
  <c r="J53" i="10" s="1"/>
  <c r="M18" i="11"/>
  <c r="C18" i="11"/>
  <c r="G18" i="11"/>
  <c r="B18" i="11"/>
  <c r="D18" i="11"/>
  <c r="W18" i="10"/>
  <c r="B25" i="10" s="1" a="1"/>
  <c r="J53" i="9"/>
  <c r="H53" i="9"/>
  <c r="H52" i="9"/>
  <c r="J52" i="9" s="1"/>
  <c r="F54" i="9"/>
  <c r="F53" i="9"/>
  <c r="F52" i="9"/>
  <c r="D56" i="9"/>
  <c r="H54" i="9" s="1"/>
  <c r="J54" i="9" s="1"/>
  <c r="C56" i="9"/>
  <c r="B56" i="9"/>
  <c r="N32" i="9"/>
  <c r="N31" i="9"/>
  <c r="Y7" i="9"/>
  <c r="Y6" i="9"/>
  <c r="Y5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D23" i="9"/>
  <c r="C23" i="9"/>
  <c r="B23" i="9"/>
  <c r="W22" i="9"/>
  <c r="W21" i="9"/>
  <c r="W20" i="9"/>
  <c r="W19" i="9"/>
  <c r="G18" i="9"/>
  <c r="F18" i="9"/>
  <c r="E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  <c r="G23" i="9"/>
  <c r="W3" i="9"/>
  <c r="W2" i="9"/>
  <c r="C27" i="12" l="1"/>
  <c r="C28" i="12"/>
  <c r="B28" i="12"/>
  <c r="B27" i="12"/>
  <c r="G26" i="12"/>
  <c r="D27" i="12"/>
  <c r="D28" i="12"/>
  <c r="F26" i="12"/>
  <c r="E26" i="12"/>
  <c r="L18" i="11"/>
  <c r="I18" i="11"/>
  <c r="H18" i="11"/>
  <c r="H17" i="11"/>
  <c r="E18" i="11"/>
  <c r="E17" i="11"/>
  <c r="K18" i="11"/>
  <c r="K17" i="11"/>
  <c r="F18" i="11"/>
  <c r="F17" i="11"/>
  <c r="J18" i="11"/>
  <c r="J17" i="11"/>
  <c r="W18" i="9"/>
  <c r="Q25" i="10"/>
  <c r="Q27" i="10" s="1"/>
  <c r="I25" i="10"/>
  <c r="I27" i="10" s="1"/>
  <c r="P25" i="10"/>
  <c r="P27" i="10" s="1"/>
  <c r="H25" i="10"/>
  <c r="H27" i="10" s="1"/>
  <c r="O25" i="10"/>
  <c r="O27" i="10" s="1"/>
  <c r="G25" i="10"/>
  <c r="G27" i="10" s="1"/>
  <c r="N25" i="10"/>
  <c r="N27" i="10" s="1"/>
  <c r="F25" i="10"/>
  <c r="F27" i="10" s="1"/>
  <c r="V25" i="10"/>
  <c r="V27" i="10" s="1"/>
  <c r="U25" i="10"/>
  <c r="U27" i="10" s="1"/>
  <c r="M25" i="10"/>
  <c r="M27" i="10" s="1"/>
  <c r="E25" i="10"/>
  <c r="E27" i="10" s="1"/>
  <c r="T25" i="10"/>
  <c r="T27" i="10" s="1"/>
  <c r="L25" i="10"/>
  <c r="L27" i="10" s="1"/>
  <c r="D25" i="10"/>
  <c r="D27" i="10" s="1"/>
  <c r="J25" i="10"/>
  <c r="J27" i="10" s="1"/>
  <c r="S25" i="10"/>
  <c r="S27" i="10" s="1"/>
  <c r="K25" i="10"/>
  <c r="K27" i="10" s="1"/>
  <c r="C25" i="10"/>
  <c r="C27" i="10" s="1"/>
  <c r="R25" i="10"/>
  <c r="R27" i="10" s="1"/>
  <c r="B25" i="10"/>
  <c r="B27" i="10" s="1"/>
  <c r="W4" i="9"/>
  <c r="B25" i="9" s="1" a="1"/>
  <c r="E23" i="9"/>
  <c r="F23" i="9"/>
  <c r="K30" i="7"/>
  <c r="G18" i="7"/>
  <c r="F18" i="7"/>
  <c r="W18" i="7" s="1"/>
  <c r="E18" i="7"/>
  <c r="G4" i="7"/>
  <c r="F3" i="7"/>
  <c r="W3" i="7" s="1"/>
  <c r="E2" i="7"/>
  <c r="W2" i="7" s="1"/>
  <c r="V23" i="7"/>
  <c r="U23" i="7"/>
  <c r="Z7" i="7" s="1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D23" i="7"/>
  <c r="C23" i="7"/>
  <c r="B23" i="7"/>
  <c r="W22" i="7"/>
  <c r="W21" i="7"/>
  <c r="W20" i="7"/>
  <c r="W19" i="7"/>
  <c r="W17" i="7"/>
  <c r="W16" i="7"/>
  <c r="W15" i="7"/>
  <c r="W14" i="7"/>
  <c r="W13" i="7"/>
  <c r="W12" i="7"/>
  <c r="W11" i="7"/>
  <c r="W10" i="7"/>
  <c r="W9" i="7"/>
  <c r="AA8" i="7"/>
  <c r="AA9" i="7" s="1"/>
  <c r="Z8" i="7"/>
  <c r="Z9" i="7" s="1"/>
  <c r="Y8" i="7"/>
  <c r="Y9" i="7" s="1"/>
  <c r="W8" i="7"/>
  <c r="W7" i="7"/>
  <c r="W6" i="7"/>
  <c r="W5" i="7"/>
  <c r="W4" i="7"/>
  <c r="T25" i="9" l="1"/>
  <c r="T27" i="9" s="1"/>
  <c r="L25" i="9"/>
  <c r="L27" i="9" s="1"/>
  <c r="D25" i="9"/>
  <c r="D27" i="9" s="1"/>
  <c r="C25" i="9"/>
  <c r="C27" i="9" s="1"/>
  <c r="R25" i="9"/>
  <c r="R27" i="9" s="1"/>
  <c r="J25" i="9"/>
  <c r="J27" i="9" s="1"/>
  <c r="B25" i="9"/>
  <c r="B27" i="9" s="1"/>
  <c r="Q25" i="9"/>
  <c r="Q27" i="9" s="1"/>
  <c r="I25" i="9"/>
  <c r="I27" i="9" s="1"/>
  <c r="P25" i="9"/>
  <c r="P27" i="9" s="1"/>
  <c r="H25" i="9"/>
  <c r="H27" i="9" s="1"/>
  <c r="O25" i="9"/>
  <c r="O27" i="9" s="1"/>
  <c r="G25" i="9"/>
  <c r="G27" i="9" s="1"/>
  <c r="V25" i="9"/>
  <c r="V27" i="9" s="1"/>
  <c r="N25" i="9"/>
  <c r="N27" i="9" s="1"/>
  <c r="F25" i="9"/>
  <c r="F27" i="9" s="1"/>
  <c r="U25" i="9"/>
  <c r="U27" i="9" s="1"/>
  <c r="M25" i="9"/>
  <c r="M27" i="9" s="1"/>
  <c r="E25" i="9"/>
  <c r="E27" i="9" s="1"/>
  <c r="S25" i="9"/>
  <c r="S27" i="9" s="1"/>
  <c r="K25" i="9"/>
  <c r="K27" i="9" s="1"/>
  <c r="E23" i="7"/>
  <c r="F23" i="7"/>
  <c r="G23" i="7"/>
  <c r="Z6" i="7"/>
  <c r="Y5" i="7"/>
  <c r="B25" i="7" a="1"/>
  <c r="Z5" i="7"/>
  <c r="AA8" i="1"/>
  <c r="AA9" i="1" s="1"/>
  <c r="Z8" i="1"/>
  <c r="Z9" i="1" s="1"/>
  <c r="Y8" i="1"/>
  <c r="Y9" i="1" s="1"/>
  <c r="P25" i="7" l="1"/>
  <c r="P27" i="7" s="1"/>
  <c r="H25" i="7"/>
  <c r="H27" i="7" s="1"/>
  <c r="O25" i="7"/>
  <c r="O27" i="7" s="1"/>
  <c r="G25" i="7"/>
  <c r="G27" i="7" s="1"/>
  <c r="V25" i="7"/>
  <c r="V27" i="7" s="1"/>
  <c r="N25" i="7"/>
  <c r="N27" i="7" s="1"/>
  <c r="F25" i="7"/>
  <c r="F27" i="7" s="1"/>
  <c r="T25" i="7"/>
  <c r="T27" i="7" s="1"/>
  <c r="D25" i="7"/>
  <c r="D27" i="7" s="1"/>
  <c r="Q25" i="7"/>
  <c r="Q27" i="7" s="1"/>
  <c r="U25" i="7"/>
  <c r="U27" i="7" s="1"/>
  <c r="M25" i="7"/>
  <c r="M27" i="7" s="1"/>
  <c r="E25" i="7"/>
  <c r="E27" i="7" s="1"/>
  <c r="L25" i="7"/>
  <c r="L27" i="7" s="1"/>
  <c r="S25" i="7"/>
  <c r="S27" i="7" s="1"/>
  <c r="K25" i="7"/>
  <c r="K27" i="7" s="1"/>
  <c r="C25" i="7"/>
  <c r="C27" i="7" s="1"/>
  <c r="R25" i="7"/>
  <c r="R27" i="7" s="1"/>
  <c r="J25" i="7"/>
  <c r="J27" i="7" s="1"/>
  <c r="B25" i="7"/>
  <c r="B27" i="7" s="1"/>
  <c r="I25" i="7"/>
  <c r="I27" i="7" s="1"/>
  <c r="G29" i="1" l="1"/>
  <c r="G31" i="1" s="1"/>
  <c r="R37" i="1" s="1"/>
  <c r="F29" i="1"/>
  <c r="F31" i="1" s="1"/>
  <c r="P34" i="1" s="1"/>
  <c r="E29" i="1"/>
  <c r="E31" i="1" s="1"/>
  <c r="Q31" i="1" s="1"/>
  <c r="P37" i="1" l="1"/>
  <c r="I31" i="1"/>
  <c r="I36" i="1"/>
  <c r="R31" i="1"/>
  <c r="J31" i="1"/>
  <c r="J36" i="1"/>
  <c r="Q34" i="1"/>
  <c r="K36" i="1"/>
  <c r="K31" i="1"/>
  <c r="P31" i="1"/>
  <c r="R34" i="1"/>
  <c r="Q37" i="1"/>
  <c r="F32" i="1"/>
  <c r="G32" i="1"/>
  <c r="F30" i="1"/>
  <c r="E30" i="1"/>
  <c r="G30" i="1"/>
  <c r="E32" i="1"/>
  <c r="K35" i="1" l="1"/>
  <c r="K30" i="1"/>
  <c r="P36" i="1"/>
  <c r="R36" i="1"/>
  <c r="Q36" i="1"/>
  <c r="J32" i="1"/>
  <c r="J37" i="1"/>
  <c r="Q35" i="1"/>
  <c r="R35" i="1"/>
  <c r="P35" i="1"/>
  <c r="I35" i="1"/>
  <c r="I30" i="1"/>
  <c r="R30" i="1"/>
  <c r="Q30" i="1"/>
  <c r="P30" i="1"/>
  <c r="J35" i="1"/>
  <c r="J30" i="1"/>
  <c r="Q33" i="1"/>
  <c r="P33" i="1"/>
  <c r="R33" i="1"/>
  <c r="I37" i="1"/>
  <c r="I32" i="1"/>
  <c r="K37" i="1"/>
  <c r="K32" i="1"/>
  <c r="R38" i="1"/>
  <c r="Q38" i="1"/>
  <c r="P38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23" i="1"/>
  <c r="U23" i="1"/>
  <c r="T23" i="1"/>
  <c r="S23" i="1"/>
  <c r="R23" i="1"/>
  <c r="R41" i="1" s="1"/>
  <c r="Q23" i="1"/>
  <c r="P23" i="1"/>
  <c r="O23" i="1"/>
  <c r="N23" i="1"/>
  <c r="M23" i="1"/>
  <c r="L23" i="1"/>
  <c r="K23" i="1"/>
  <c r="J23" i="1"/>
  <c r="I23" i="1"/>
  <c r="H23" i="1"/>
  <c r="H40" i="1" s="1"/>
  <c r="I40" i="1" s="1"/>
  <c r="G23" i="1"/>
  <c r="F23" i="1"/>
  <c r="E23" i="1"/>
  <c r="D23" i="1"/>
  <c r="C23" i="1"/>
  <c r="B23" i="1"/>
  <c r="Z5" i="1" l="1"/>
  <c r="Y5" i="1"/>
  <c r="Z7" i="1"/>
  <c r="Z6" i="1"/>
  <c r="B25" i="1" a="1"/>
  <c r="B25" i="1" s="1"/>
  <c r="B27" i="1" s="1"/>
  <c r="G35" i="1"/>
  <c r="F35" i="1"/>
  <c r="E35" i="1"/>
  <c r="O25" i="1" l="1"/>
  <c r="O27" i="1" s="1"/>
  <c r="H25" i="1"/>
  <c r="H27" i="1" s="1"/>
  <c r="T25" i="1"/>
  <c r="T27" i="1" s="1"/>
  <c r="M25" i="1"/>
  <c r="M27" i="1" s="1"/>
  <c r="U25" i="1"/>
  <c r="U27" i="1" s="1"/>
  <c r="P25" i="1"/>
  <c r="P27" i="1" s="1"/>
  <c r="C25" i="1"/>
  <c r="C27" i="1" s="1"/>
  <c r="N25" i="1"/>
  <c r="N27" i="1" s="1"/>
  <c r="I25" i="1"/>
  <c r="I27" i="1" s="1"/>
  <c r="K25" i="1"/>
  <c r="K27" i="1" s="1"/>
  <c r="V25" i="1"/>
  <c r="V27" i="1" s="1"/>
  <c r="Q25" i="1"/>
  <c r="Q27" i="1" s="1"/>
  <c r="S25" i="1"/>
  <c r="S27" i="1" s="1"/>
  <c r="E25" i="1"/>
  <c r="E27" i="1" s="1"/>
  <c r="J25" i="1"/>
  <c r="J27" i="1" s="1"/>
  <c r="D25" i="1"/>
  <c r="D27" i="1" s="1"/>
  <c r="F25" i="1"/>
  <c r="F27" i="1" s="1"/>
  <c r="R25" i="1"/>
  <c r="R27" i="1" s="1"/>
  <c r="L25" i="1"/>
  <c r="L27" i="1" s="1"/>
  <c r="G25" i="1"/>
  <c r="G27" i="1" s="1"/>
  <c r="D54" i="1" l="1"/>
  <c r="D55" i="1" s="1"/>
  <c r="C54" i="1"/>
  <c r="C55" i="1" s="1"/>
  <c r="B54" i="1"/>
  <c r="B55" i="1" s="1"/>
  <c r="L41" i="1" l="1"/>
  <c r="L42" i="1" s="1"/>
</calcChain>
</file>

<file path=xl/sharedStrings.xml><?xml version="1.0" encoding="utf-8"?>
<sst xmlns="http://schemas.openxmlformats.org/spreadsheetml/2006/main" count="393" uniqueCount="75">
  <si>
    <t>Act prim</t>
  </si>
  <si>
    <t>Act manu</t>
  </si>
  <si>
    <t>Act serv</t>
  </si>
  <si>
    <t>Prod prim</t>
  </si>
  <si>
    <t>Prod manu</t>
  </si>
  <si>
    <t>Prod serv</t>
  </si>
  <si>
    <t>Trabajo</t>
  </si>
  <si>
    <t>Capital</t>
  </si>
  <si>
    <t>Hogares</t>
  </si>
  <si>
    <t>Empresas</t>
  </si>
  <si>
    <t>Gobierno</t>
  </si>
  <si>
    <t>Cont_soc</t>
  </si>
  <si>
    <t>Pres_soc</t>
  </si>
  <si>
    <t>Imp_dir</t>
  </si>
  <si>
    <t>Imp_prod</t>
  </si>
  <si>
    <t>Imptos_Espec</t>
  </si>
  <si>
    <t>IVA</t>
  </si>
  <si>
    <t>Arancel</t>
  </si>
  <si>
    <t>row</t>
  </si>
  <si>
    <t>S-I</t>
  </si>
  <si>
    <t>Var_Exis</t>
  </si>
  <si>
    <t>Total</t>
  </si>
  <si>
    <t>bloques:</t>
  </si>
  <si>
    <t>produccion</t>
  </si>
  <si>
    <t>producto</t>
  </si>
  <si>
    <t>empresa</t>
  </si>
  <si>
    <t>gobierno</t>
  </si>
  <si>
    <t>mercado</t>
  </si>
  <si>
    <t>consumidor</t>
  </si>
  <si>
    <t>inversión</t>
  </si>
  <si>
    <t>ROW</t>
  </si>
  <si>
    <t>domestico</t>
  </si>
  <si>
    <t>importado</t>
  </si>
  <si>
    <t>importacion</t>
  </si>
  <si>
    <t>exportacione</t>
  </si>
  <si>
    <t>export</t>
  </si>
  <si>
    <t>domestico(hogares, gob, ins)</t>
  </si>
  <si>
    <t>intermedio</t>
  </si>
  <si>
    <t>Producción</t>
  </si>
  <si>
    <t>Filas es el total de la producción</t>
  </si>
  <si>
    <t xml:space="preserve">Las columnas son sus costos </t>
  </si>
  <si>
    <t>el capital es poseido por los hogares, empresas, gobierno y ROW</t>
  </si>
  <si>
    <t>el trabajo por los hogares y row</t>
  </si>
  <si>
    <t xml:space="preserve"> PROD&lt;pi::PRODS&gt;(X&lt;pi,p,s&gt;[]^beta_x&lt;pi,p,s&gt;)</t>
  </si>
  <si>
    <t>insumo-producto-actividad</t>
  </si>
  <si>
    <t>L prim</t>
  </si>
  <si>
    <t>l serv</t>
  </si>
  <si>
    <t>L manu</t>
  </si>
  <si>
    <t>K prim</t>
  </si>
  <si>
    <t>K manu</t>
  </si>
  <si>
    <t>K serv</t>
  </si>
  <si>
    <t>Vertical: Gasto</t>
  </si>
  <si>
    <t>Horizontal: Ingresos</t>
  </si>
  <si>
    <t>Esta el la SAM que se está utilizando</t>
  </si>
  <si>
    <t>La producción no tiene IVA</t>
  </si>
  <si>
    <t>pasar las exportaciones al consumo de los hogares</t>
  </si>
  <si>
    <t>pasar los ingresos del capital y el trabajo row a los hogares</t>
  </si>
  <si>
    <t>Quitar del consumo de los hogares lo que se importa</t>
  </si>
  <si>
    <t>pasar SI row a hogares</t>
  </si>
  <si>
    <t>qiotar ingresos del capital de row y de lo que el capital le transfiere a los hogares</t>
  </si>
  <si>
    <t>quitar el arancel de los productos que consumen los hogares, quitarlo de los ingresos del gobierno y disminuir en ese monto las transferencias a los hogares</t>
  </si>
  <si>
    <t>quitar el impuesto especifico a la actividad manufacturera y wal prod manu de esa actividad</t>
  </si>
  <si>
    <t>quitar ese monto al consumo de los hogares de prod manu</t>
  </si>
  <si>
    <t>quitar ese monto de los ingresos del gob y de las transferencias a los hogares</t>
  </si>
  <si>
    <t>El impuesto a los productos se elimina de cada producto, lo que se descuenta del consumo de los hogares, lo que a su vez se resta de las prestaciones sociales que recibe del gobierno</t>
  </si>
  <si>
    <t>Se elimina el gasto intermedio en productos, el que se asigna al prod principal de cada actvidad y se cuadra la diferencia con hogares</t>
  </si>
  <si>
    <t>Hacer que cada sector produzca un solo bien</t>
  </si>
  <si>
    <t>Act</t>
  </si>
  <si>
    <t>Prod</t>
  </si>
  <si>
    <t>Esta el la SAM que se está utilizando, con un solo producto producido en una sola actividad</t>
  </si>
  <si>
    <t>beta</t>
  </si>
  <si>
    <t>gamma</t>
  </si>
  <si>
    <t>tasa vat</t>
  </si>
  <si>
    <t>Esta el la base de las SAMs que se están utilizando</t>
  </si>
  <si>
    <t xml:space="preserve">pasar el arancel al 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</si>
</sst>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#,##0.0000000"/>
    <numFmt numFmtId="167" formatCode="#,##0.000"/>
  </numFmts>
  <fonts count="19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8"/>
      <color rgb="FF006100"/>
      <name val="Tahoma"/>
      <family val="2"/>
    </font>
    <font>
      <sz val="8"/>
      <color rgb="FF9C0006"/>
      <name val="Tahoma"/>
      <family val="2"/>
    </font>
    <font>
      <sz val="8"/>
      <color rgb="FF9C6500"/>
      <name val="Tahoma"/>
      <family val="2"/>
    </font>
    <font>
      <sz val="8"/>
      <color rgb="FF3F3F76"/>
      <name val="Tahoma"/>
      <family val="2"/>
    </font>
    <font>
      <b/>
      <sz val="8"/>
      <color rgb="FF3F3F3F"/>
      <name val="Tahoma"/>
      <family val="2"/>
    </font>
    <font>
      <b/>
      <sz val="8"/>
      <color rgb="FFFA7D00"/>
      <name val="Tahoma"/>
      <family val="2"/>
    </font>
    <font>
      <sz val="8"/>
      <color rgb="FFFA7D00"/>
      <name val="Tahoma"/>
      <family val="2"/>
    </font>
    <font>
      <b/>
      <sz val="8"/>
      <color theme="0"/>
      <name val="Tahoma"/>
      <family val="2"/>
    </font>
    <font>
      <sz val="8"/>
      <color rgb="FFFF0000"/>
      <name val="Tahoma"/>
      <family val="2"/>
    </font>
    <font>
      <i/>
      <sz val="8"/>
      <color rgb="FF7F7F7F"/>
      <name val="Tahoma"/>
      <family val="2"/>
    </font>
    <font>
      <b/>
      <sz val="8"/>
      <color theme="1"/>
      <name val="Tahoma"/>
      <family val="2"/>
    </font>
    <font>
      <sz val="8"/>
      <color theme="0"/>
      <name val="Tahoma"/>
      <family val="2"/>
    </font>
    <font>
      <b/>
      <sz val="18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8" fillId="4" borderId="0" xfId="8"/>
    <xf numFmtId="3" fontId="0" fillId="0" borderId="0" xfId="0" applyNumberFormat="1"/>
    <xf numFmtId="164" fontId="0" fillId="0" borderId="10" xfId="0" applyNumberFormat="1" applyBorder="1"/>
    <xf numFmtId="165" fontId="0" fillId="0" borderId="0" xfId="42" applyNumberFormat="1" applyFont="1"/>
    <xf numFmtId="164" fontId="0" fillId="0" borderId="0" xfId="0" applyNumberFormat="1"/>
    <xf numFmtId="0" fontId="0" fillId="34" borderId="0" xfId="0" applyFill="1"/>
    <xf numFmtId="164" fontId="0" fillId="34" borderId="10" xfId="0" applyNumberFormat="1" applyFill="1" applyBorder="1"/>
    <xf numFmtId="166" fontId="0" fillId="0" borderId="0" xfId="0" applyNumberFormat="1"/>
    <xf numFmtId="0" fontId="0" fillId="33" borderId="0" xfId="0" applyFill="1"/>
    <xf numFmtId="0" fontId="18" fillId="34" borderId="0" xfId="0" applyFont="1" applyFill="1"/>
    <xf numFmtId="0" fontId="0" fillId="0" borderId="0" xfId="0" applyFill="1"/>
    <xf numFmtId="167" fontId="0" fillId="0" borderId="10" xfId="0" applyNumberForma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2378-D1AE-4036-8BAA-A66B6A430E56}">
  <sheetPr>
    <tabColor rgb="FFFFFF00"/>
  </sheetPr>
  <dimension ref="A1:Y59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U23" sqref="U23"/>
    </sheetView>
  </sheetViews>
  <sheetFormatPr baseColWidth="10" defaultRowHeight="10.5" x14ac:dyDescent="0.15"/>
  <cols>
    <col min="2" max="2" width="12.5" bestFit="1" customWidth="1"/>
    <col min="5" max="5" width="12.5" bestFit="1" customWidth="1"/>
    <col min="8" max="8" width="12.5" bestFit="1" customWidth="1"/>
  </cols>
  <sheetData>
    <row r="1" spans="1:25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5" x14ac:dyDescent="0.15">
      <c r="A2" s="1" t="s">
        <v>0</v>
      </c>
      <c r="B2" s="5">
        <v>0</v>
      </c>
      <c r="C2" s="5">
        <v>0</v>
      </c>
      <c r="D2" s="5">
        <v>0</v>
      </c>
      <c r="E2" s="5">
        <v>28.688309060889999</v>
      </c>
      <c r="F2" s="5">
        <v>1.069724034</v>
      </c>
      <c r="G2" s="5">
        <v>0.94155019620000002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f>+SUM(B2:V2)</f>
        <v>30.699583291090001</v>
      </c>
      <c r="X2" t="s">
        <v>51</v>
      </c>
      <c r="Y2" s="7">
        <f>+U2+V2</f>
        <v>0</v>
      </c>
    </row>
    <row r="3" spans="1:25" x14ac:dyDescent="0.15">
      <c r="A3" s="1" t="s">
        <v>1</v>
      </c>
      <c r="B3" s="5">
        <v>0</v>
      </c>
      <c r="C3" s="5">
        <v>0</v>
      </c>
      <c r="D3" s="5">
        <v>0</v>
      </c>
      <c r="E3" s="5">
        <v>0.17356569899999999</v>
      </c>
      <c r="F3" s="5">
        <v>61.503785585719996</v>
      </c>
      <c r="G3" s="5">
        <v>1.318426093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f t="shared" ref="W3:W22" si="0">+SUM(B3:V3)</f>
        <v>62.995777377719996</v>
      </c>
      <c r="X3" t="s">
        <v>52</v>
      </c>
      <c r="Y3" s="7">
        <f t="shared" ref="Y3:Y22" si="1">+U3+V3</f>
        <v>0</v>
      </c>
    </row>
    <row r="4" spans="1:25" x14ac:dyDescent="0.15">
      <c r="A4" s="1" t="s">
        <v>2</v>
      </c>
      <c r="B4" s="5">
        <v>0</v>
      </c>
      <c r="C4" s="5">
        <v>0</v>
      </c>
      <c r="D4" s="5">
        <v>0</v>
      </c>
      <c r="E4" s="5">
        <v>0</v>
      </c>
      <c r="F4" s="5">
        <v>1.495441644</v>
      </c>
      <c r="G4" s="5">
        <v>84.471346864999987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f t="shared" si="0"/>
        <v>85.966788508999983</v>
      </c>
      <c r="Y4" s="7">
        <f t="shared" si="1"/>
        <v>0</v>
      </c>
    </row>
    <row r="5" spans="1:25" x14ac:dyDescent="0.15">
      <c r="A5" s="1" t="s">
        <v>3</v>
      </c>
      <c r="B5" s="5">
        <v>3.1605375580000001</v>
      </c>
      <c r="C5" s="5">
        <v>11.927984220000001</v>
      </c>
      <c r="D5" s="5">
        <v>0.16408898730000002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13.773547216400001</v>
      </c>
      <c r="K5" s="5">
        <v>0</v>
      </c>
      <c r="L5" s="5">
        <v>1.75329745E-2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0.16482158305</v>
      </c>
      <c r="V5" s="5">
        <v>0</v>
      </c>
      <c r="W5" s="5">
        <f t="shared" si="0"/>
        <v>29.208512539250002</v>
      </c>
      <c r="Y5" s="7">
        <f t="shared" si="1"/>
        <v>0.16482158305</v>
      </c>
    </row>
    <row r="6" spans="1:25" x14ac:dyDescent="0.15">
      <c r="A6" s="1" t="s">
        <v>4</v>
      </c>
      <c r="B6" s="5">
        <v>6.9137747879999996</v>
      </c>
      <c r="C6" s="5">
        <v>22.11542081</v>
      </c>
      <c r="D6" s="5">
        <v>11.39658985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8.4945261772000027</v>
      </c>
      <c r="K6" s="5">
        <v>0</v>
      </c>
      <c r="L6" s="5">
        <v>8.3720262130000001E-2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20.612622200999997</v>
      </c>
      <c r="V6" s="5">
        <v>0</v>
      </c>
      <c r="W6" s="5">
        <f t="shared" si="0"/>
        <v>69.616654088329994</v>
      </c>
      <c r="Y6" s="7">
        <f t="shared" si="1"/>
        <v>20.612622200999997</v>
      </c>
    </row>
    <row r="7" spans="1:25" x14ac:dyDescent="0.15">
      <c r="A7" s="1" t="s">
        <v>5</v>
      </c>
      <c r="B7" s="5">
        <v>4.4456911320000003</v>
      </c>
      <c r="C7" s="5">
        <v>10.25533388</v>
      </c>
      <c r="D7" s="5">
        <v>25.790391530000001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34.326412584000003</v>
      </c>
      <c r="K7" s="5">
        <v>0</v>
      </c>
      <c r="L7" s="5">
        <v>10.39411222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3.5847821083199998</v>
      </c>
      <c r="V7" s="5">
        <v>0</v>
      </c>
      <c r="W7" s="5">
        <f t="shared" si="0"/>
        <v>88.796723454320002</v>
      </c>
      <c r="Y7" s="7">
        <f t="shared" si="1"/>
        <v>3.5847821083199998</v>
      </c>
    </row>
    <row r="8" spans="1:25" x14ac:dyDescent="0.15">
      <c r="A8" s="1" t="s">
        <v>6</v>
      </c>
      <c r="B8" s="5">
        <v>2.9878268870000002</v>
      </c>
      <c r="C8" s="5">
        <v>7.1010807900000001</v>
      </c>
      <c r="D8" s="5">
        <v>24.0441237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f t="shared" si="0"/>
        <v>34.133031377000002</v>
      </c>
      <c r="Y8" s="7">
        <f t="shared" si="1"/>
        <v>0</v>
      </c>
    </row>
    <row r="9" spans="1:25" x14ac:dyDescent="0.15">
      <c r="A9" s="1" t="s">
        <v>7</v>
      </c>
      <c r="B9" s="5">
        <v>13.19175293</v>
      </c>
      <c r="C9" s="5">
        <v>11.59595768</v>
      </c>
      <c r="D9" s="5">
        <v>24.571594449999999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f t="shared" si="0"/>
        <v>49.359305059999997</v>
      </c>
      <c r="Y9" s="7">
        <f t="shared" si="1"/>
        <v>0</v>
      </c>
    </row>
    <row r="10" spans="1:25" x14ac:dyDescent="0.15">
      <c r="A10" s="1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34.133031370000005</v>
      </c>
      <c r="I10" s="5">
        <v>17.281502200000006</v>
      </c>
      <c r="J10" s="5">
        <v>0</v>
      </c>
      <c r="K10" s="5">
        <v>17.431284399999999</v>
      </c>
      <c r="L10" s="5">
        <v>2.1073795340000001</v>
      </c>
      <c r="M10" s="5">
        <v>0</v>
      </c>
      <c r="N10" s="5">
        <v>3.11076672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f t="shared" si="0"/>
        <v>74.063964224000017</v>
      </c>
      <c r="Y10" s="7">
        <f t="shared" si="1"/>
        <v>0</v>
      </c>
    </row>
    <row r="11" spans="1:25" x14ac:dyDescent="0.15">
      <c r="A11" s="1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31.096709390000001</v>
      </c>
      <c r="J11" s="5">
        <v>0</v>
      </c>
      <c r="K11" s="5">
        <v>0</v>
      </c>
      <c r="L11" s="5">
        <v>0</v>
      </c>
      <c r="M11" s="5">
        <v>5.8570051300000001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0"/>
        <v>36.953714519999998</v>
      </c>
      <c r="Y11" s="7">
        <f t="shared" si="1"/>
        <v>0</v>
      </c>
    </row>
    <row r="12" spans="1:25" x14ac:dyDescent="0.15">
      <c r="A12" s="1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0.98109349999999995</v>
      </c>
      <c r="J12" s="5">
        <v>0</v>
      </c>
      <c r="K12" s="5">
        <v>0</v>
      </c>
      <c r="L12" s="5">
        <v>0</v>
      </c>
      <c r="M12" s="5">
        <v>1.6238783000000001</v>
      </c>
      <c r="N12" s="5">
        <v>0</v>
      </c>
      <c r="O12" s="5">
        <v>5.8828657</v>
      </c>
      <c r="P12" s="5">
        <v>0</v>
      </c>
      <c r="Q12" s="5">
        <v>0</v>
      </c>
      <c r="R12" s="5">
        <v>7.9597404277999999</v>
      </c>
      <c r="S12" s="5">
        <v>0</v>
      </c>
      <c r="T12" s="5">
        <v>0</v>
      </c>
      <c r="U12" s="5">
        <v>0</v>
      </c>
      <c r="V12" s="5">
        <v>0</v>
      </c>
      <c r="W12" s="5">
        <f t="shared" si="0"/>
        <v>16.447577927799998</v>
      </c>
      <c r="Y12" s="7">
        <f t="shared" si="1"/>
        <v>0</v>
      </c>
    </row>
    <row r="13" spans="1:25" x14ac:dyDescent="0.15">
      <c r="A13" s="1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7.4808834299999996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f t="shared" si="0"/>
        <v>7.4808834299999996</v>
      </c>
      <c r="Y13" s="7">
        <f t="shared" si="1"/>
        <v>0</v>
      </c>
    </row>
    <row r="14" spans="1:25" x14ac:dyDescent="0.15">
      <c r="A14" s="1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1.5233916200000002</v>
      </c>
      <c r="L14" s="5">
        <v>1.5873751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f t="shared" si="0"/>
        <v>3.11076672</v>
      </c>
      <c r="Y14" s="7">
        <f t="shared" si="1"/>
        <v>0</v>
      </c>
    </row>
    <row r="15" spans="1:25" x14ac:dyDescent="0.15">
      <c r="A15" s="1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1.2089669999999999</v>
      </c>
      <c r="K15" s="5">
        <v>4.6738986999999996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f t="shared" si="0"/>
        <v>5.8828657</v>
      </c>
      <c r="Y15" s="7">
        <f t="shared" si="1"/>
        <v>0</v>
      </c>
    </row>
    <row r="16" spans="1:25" x14ac:dyDescent="0.15">
      <c r="A16" s="1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0"/>
        <v>0</v>
      </c>
      <c r="Y16" s="7">
        <f t="shared" si="1"/>
        <v>0</v>
      </c>
    </row>
    <row r="17" spans="1:25" x14ac:dyDescent="0.15">
      <c r="A17" s="1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f t="shared" si="0"/>
        <v>0</v>
      </c>
      <c r="Y17" s="7">
        <f t="shared" si="1"/>
        <v>0</v>
      </c>
    </row>
    <row r="18" spans="1:25" x14ac:dyDescent="0.15">
      <c r="A18" s="1" t="s">
        <v>16</v>
      </c>
      <c r="B18" s="5">
        <v>0</v>
      </c>
      <c r="C18" s="5">
        <v>0</v>
      </c>
      <c r="D18" s="5">
        <v>0</v>
      </c>
      <c r="E18" s="5">
        <v>0.34663777383</v>
      </c>
      <c r="F18" s="5">
        <v>5.5477028223799998</v>
      </c>
      <c r="G18" s="5">
        <v>2.0653998315183499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f t="shared" si="0"/>
        <v>7.9597404277283506</v>
      </c>
      <c r="Y18" s="7">
        <f t="shared" si="1"/>
        <v>0</v>
      </c>
    </row>
    <row r="19" spans="1:25" x14ac:dyDescent="0.15">
      <c r="A19" s="1" t="s">
        <v>17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f t="shared" si="0"/>
        <v>0</v>
      </c>
      <c r="Y19" s="7">
        <f t="shared" si="1"/>
        <v>0</v>
      </c>
    </row>
    <row r="20" spans="1:25" x14ac:dyDescent="0.15">
      <c r="A20" s="1" t="s">
        <v>18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f t="shared" si="0"/>
        <v>0</v>
      </c>
      <c r="Y20" s="7">
        <f t="shared" si="1"/>
        <v>0</v>
      </c>
    </row>
    <row r="21" spans="1:25" x14ac:dyDescent="0.15">
      <c r="A21" s="1" t="s">
        <v>19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8.7797730940000012</v>
      </c>
      <c r="K21" s="5">
        <v>13.325139800000001</v>
      </c>
      <c r="L21" s="5">
        <v>2.2573129999999999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f t="shared" si="0"/>
        <v>24.362225894000002</v>
      </c>
      <c r="Y21" s="7">
        <f t="shared" si="1"/>
        <v>0</v>
      </c>
    </row>
    <row r="22" spans="1:25" x14ac:dyDescent="0.15">
      <c r="A22" s="1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f t="shared" si="0"/>
        <v>0</v>
      </c>
      <c r="Y22" s="7">
        <f t="shared" si="1"/>
        <v>0</v>
      </c>
    </row>
    <row r="23" spans="1:25" x14ac:dyDescent="0.15">
      <c r="A23" s="1" t="s">
        <v>21</v>
      </c>
      <c r="B23" s="5">
        <f>+SUM(B2:B22)</f>
        <v>30.699583295</v>
      </c>
      <c r="C23" s="5">
        <f t="shared" ref="C23:V23" si="2">+SUM(C2:C22)</f>
        <v>62.99577738</v>
      </c>
      <c r="D23" s="5">
        <f t="shared" si="2"/>
        <v>85.966788517299989</v>
      </c>
      <c r="E23" s="5">
        <f t="shared" si="2"/>
        <v>29.20851253372</v>
      </c>
      <c r="F23" s="5">
        <f t="shared" si="2"/>
        <v>69.616654086099999</v>
      </c>
      <c r="G23" s="5">
        <f t="shared" si="2"/>
        <v>88.796722985718333</v>
      </c>
      <c r="H23" s="5">
        <f t="shared" si="2"/>
        <v>34.133031370000005</v>
      </c>
      <c r="I23" s="5">
        <f t="shared" si="2"/>
        <v>49.359305090000007</v>
      </c>
      <c r="J23" s="5">
        <f t="shared" si="2"/>
        <v>74.064109501600015</v>
      </c>
      <c r="K23" s="5">
        <f t="shared" si="2"/>
        <v>36.953714519999998</v>
      </c>
      <c r="L23" s="5">
        <f t="shared" si="2"/>
        <v>16.44743309063</v>
      </c>
      <c r="M23" s="5">
        <f t="shared" si="2"/>
        <v>7.4808834300000004</v>
      </c>
      <c r="N23" s="5">
        <f t="shared" si="2"/>
        <v>3.11076672</v>
      </c>
      <c r="O23" s="5">
        <f t="shared" si="2"/>
        <v>5.8828657</v>
      </c>
      <c r="P23" s="5">
        <f t="shared" si="2"/>
        <v>0</v>
      </c>
      <c r="Q23" s="5">
        <f t="shared" si="2"/>
        <v>0</v>
      </c>
      <c r="R23" s="5">
        <f t="shared" si="2"/>
        <v>7.9597404277999999</v>
      </c>
      <c r="S23" s="5">
        <f t="shared" si="2"/>
        <v>0</v>
      </c>
      <c r="T23" s="5">
        <f t="shared" si="2"/>
        <v>0</v>
      </c>
      <c r="U23" s="5">
        <f t="shared" si="2"/>
        <v>24.362225892369995</v>
      </c>
      <c r="V23" s="5">
        <f t="shared" si="2"/>
        <v>0</v>
      </c>
      <c r="W23" s="5">
        <v>0</v>
      </c>
    </row>
    <row r="25" spans="1:25" x14ac:dyDescent="0.15">
      <c r="B25">
        <f t="array" ref="B25:V25">TRANSPOSE(W2:W22)</f>
        <v>30.699583291090001</v>
      </c>
      <c r="C25">
        <v>62.995777377719996</v>
      </c>
      <c r="D25">
        <v>85.966788508999983</v>
      </c>
      <c r="E25">
        <v>29.208512539250002</v>
      </c>
      <c r="F25">
        <v>69.616654088329994</v>
      </c>
      <c r="G25">
        <v>88.796723454320002</v>
      </c>
      <c r="H25">
        <v>34.133031377000002</v>
      </c>
      <c r="I25">
        <v>49.359305059999997</v>
      </c>
      <c r="J25">
        <v>74.063964224000017</v>
      </c>
      <c r="K25">
        <v>36.953714519999998</v>
      </c>
      <c r="L25">
        <v>16.447577927799998</v>
      </c>
      <c r="M25">
        <v>7.4808834299999996</v>
      </c>
      <c r="N25">
        <v>3.11076672</v>
      </c>
      <c r="O25">
        <v>5.8828657</v>
      </c>
      <c r="P25">
        <v>0</v>
      </c>
      <c r="Q25">
        <v>0</v>
      </c>
      <c r="R25">
        <v>7.9597404277283506</v>
      </c>
      <c r="S25">
        <v>0</v>
      </c>
      <c r="T25">
        <v>0</v>
      </c>
      <c r="U25">
        <v>24.362225894000002</v>
      </c>
      <c r="V25">
        <v>0</v>
      </c>
    </row>
    <row r="26" spans="1:25" x14ac:dyDescent="0.15">
      <c r="E26" s="7">
        <f>+E25-E23</f>
        <v>5.5300013457326713E-9</v>
      </c>
      <c r="F26" s="7">
        <f t="shared" ref="F26:G26" si="3">+F25-F23</f>
        <v>2.2299957436189288E-9</v>
      </c>
      <c r="G26" s="7">
        <f t="shared" si="3"/>
        <v>4.6860166946771642E-7</v>
      </c>
    </row>
    <row r="27" spans="1:25" x14ac:dyDescent="0.15">
      <c r="B27" s="14">
        <f>ROUND(B23-B25,3)</f>
        <v>0</v>
      </c>
      <c r="C27" s="14">
        <f>ROUND(C23-C25,3)</f>
        <v>0</v>
      </c>
      <c r="D27" s="14">
        <f>ROUND(D23-D25,3)</f>
        <v>0</v>
      </c>
      <c r="E27" s="14">
        <f>ROUND(E23-E25,3)</f>
        <v>0</v>
      </c>
      <c r="F27" s="14">
        <f>ROUND(F23-F25,3)</f>
        <v>0</v>
      </c>
      <c r="G27" s="14">
        <f>ROUND(G23-G25,3)</f>
        <v>0</v>
      </c>
      <c r="H27" s="14">
        <f t="shared" ref="H27:V27" si="4">ROUND(H23-H25,3)</f>
        <v>0</v>
      </c>
      <c r="I27" s="14">
        <f t="shared" si="4"/>
        <v>0</v>
      </c>
      <c r="J27" s="14">
        <f t="shared" si="4"/>
        <v>0</v>
      </c>
      <c r="K27" s="14">
        <f t="shared" si="4"/>
        <v>0</v>
      </c>
      <c r="L27" s="14">
        <f t="shared" si="4"/>
        <v>0</v>
      </c>
      <c r="M27" s="14">
        <f t="shared" si="4"/>
        <v>0</v>
      </c>
      <c r="N27" s="14">
        <f t="shared" si="4"/>
        <v>0</v>
      </c>
      <c r="O27" s="14">
        <f t="shared" si="4"/>
        <v>0</v>
      </c>
      <c r="P27" s="14">
        <f t="shared" si="4"/>
        <v>0</v>
      </c>
      <c r="Q27" s="14">
        <f t="shared" si="4"/>
        <v>0</v>
      </c>
      <c r="R27" s="14">
        <f t="shared" si="4"/>
        <v>0</v>
      </c>
      <c r="S27" s="14">
        <f t="shared" si="4"/>
        <v>0</v>
      </c>
      <c r="T27" s="14">
        <f t="shared" si="4"/>
        <v>0</v>
      </c>
      <c r="U27" s="14">
        <f t="shared" si="4"/>
        <v>0</v>
      </c>
      <c r="V27" s="14">
        <f t="shared" si="4"/>
        <v>0</v>
      </c>
    </row>
    <row r="28" spans="1:25" x14ac:dyDescent="0.15">
      <c r="B28" s="7">
        <f>+B23-B25</f>
        <v>3.9099994353364309E-9</v>
      </c>
      <c r="C28" s="7">
        <f t="shared" ref="C28:D28" si="5">+C23-C25</f>
        <v>2.2800037413617247E-9</v>
      </c>
      <c r="D28" s="7">
        <f t="shared" si="5"/>
        <v>8.3000060158155975E-9</v>
      </c>
    </row>
    <row r="29" spans="1:25" x14ac:dyDescent="0.15">
      <c r="B29" s="11" t="s">
        <v>55</v>
      </c>
      <c r="H29" s="7">
        <f t="shared" ref="H29:I29" si="6">+H20+H10</f>
        <v>34.133031370000005</v>
      </c>
      <c r="I29" s="7">
        <f>+I20+I10</f>
        <v>17.281502200000006</v>
      </c>
      <c r="J29" s="7">
        <f>+J21+T21</f>
        <v>8.7797730940000012</v>
      </c>
    </row>
    <row r="30" spans="1:25" x14ac:dyDescent="0.15">
      <c r="B30" s="11" t="s">
        <v>56</v>
      </c>
      <c r="I30" s="7">
        <f>+I29-T9</f>
        <v>17.281502200000006</v>
      </c>
      <c r="Q30" s="7">
        <f>+L10-P12-Q12</f>
        <v>2.1073795340000001</v>
      </c>
      <c r="R30" s="7">
        <f>+R12+S12</f>
        <v>7.9597404277999999</v>
      </c>
      <c r="S30" s="7">
        <f>+L10-S12</f>
        <v>2.1073795340000001</v>
      </c>
    </row>
    <row r="31" spans="1:25" x14ac:dyDescent="0.15">
      <c r="B31" s="11" t="s">
        <v>57</v>
      </c>
      <c r="U31" s="7">
        <f>+U5+V5</f>
        <v>0.16482158305</v>
      </c>
    </row>
    <row r="32" spans="1:25" x14ac:dyDescent="0.15">
      <c r="B32" s="11" t="s">
        <v>58</v>
      </c>
      <c r="J32">
        <v>-2.3959999999999999</v>
      </c>
      <c r="U32" s="7">
        <f t="shared" ref="U32:U33" si="7">+U6+V6</f>
        <v>20.612622200999997</v>
      </c>
    </row>
    <row r="33" spans="2:21" x14ac:dyDescent="0.15">
      <c r="B33" s="11" t="s">
        <v>59</v>
      </c>
      <c r="U33" s="7">
        <f t="shared" si="7"/>
        <v>3.5847821083199998</v>
      </c>
    </row>
    <row r="34" spans="2:21" x14ac:dyDescent="0.15">
      <c r="B34" s="13"/>
      <c r="J34" s="7">
        <f>+N10+J32</f>
        <v>0.71476672000000008</v>
      </c>
      <c r="K34" s="7">
        <f>+L14+J32</f>
        <v>-0.80862489999999987</v>
      </c>
    </row>
    <row r="35" spans="2:21" x14ac:dyDescent="0.15">
      <c r="B35" s="11" t="s">
        <v>74</v>
      </c>
    </row>
    <row r="37" spans="2:21" x14ac:dyDescent="0.15">
      <c r="B37" t="s">
        <v>61</v>
      </c>
    </row>
    <row r="38" spans="2:21" x14ac:dyDescent="0.15">
      <c r="B38" t="s">
        <v>62</v>
      </c>
    </row>
    <row r="39" spans="2:21" x14ac:dyDescent="0.15">
      <c r="B39" t="s">
        <v>63</v>
      </c>
    </row>
    <row r="41" spans="2:21" x14ac:dyDescent="0.15">
      <c r="B41" t="s">
        <v>64</v>
      </c>
    </row>
    <row r="43" spans="2:21" x14ac:dyDescent="0.15">
      <c r="B43" s="7">
        <f>+J5+T5</f>
        <v>13.773547216400001</v>
      </c>
      <c r="C43" s="7">
        <f>+B43-E20</f>
        <v>13.773547216400001</v>
      </c>
      <c r="D43" s="7">
        <f>+C43-E19</f>
        <v>13.773547216400001</v>
      </c>
      <c r="E43" s="7">
        <f>+D43-B16-B17</f>
        <v>13.773547216400001</v>
      </c>
      <c r="H43" s="7"/>
      <c r="I43" s="7">
        <f>+I10-T9</f>
        <v>17.281502200000006</v>
      </c>
    </row>
    <row r="44" spans="2:21" x14ac:dyDescent="0.15">
      <c r="B44" s="7">
        <f t="shared" ref="B44:B45" si="8">+J6+T6</f>
        <v>8.4945261772000027</v>
      </c>
      <c r="C44" s="7">
        <f>+B44-F20</f>
        <v>8.4945261772000027</v>
      </c>
      <c r="D44" s="7">
        <f>+C44-F19</f>
        <v>8.4945261772000027</v>
      </c>
      <c r="E44" s="7">
        <f>+D44-C16-C17</f>
        <v>8.4945261772000027</v>
      </c>
    </row>
    <row r="45" spans="2:21" x14ac:dyDescent="0.15">
      <c r="B45" s="7">
        <f t="shared" si="8"/>
        <v>34.326412584000003</v>
      </c>
      <c r="C45" s="7">
        <f>+B45-G20</f>
        <v>34.326412584000003</v>
      </c>
      <c r="D45" s="7">
        <f>+C45-G19</f>
        <v>34.326412584000003</v>
      </c>
      <c r="E45" s="7">
        <f>+D45-D16-D17</f>
        <v>34.326412584000003</v>
      </c>
    </row>
    <row r="47" spans="2:21" x14ac:dyDescent="0.15">
      <c r="B47" s="7">
        <f>+H10+H20</f>
        <v>34.133031370000005</v>
      </c>
      <c r="C47" s="7">
        <f>+I10+I20</f>
        <v>17.281502200000006</v>
      </c>
    </row>
    <row r="48" spans="2:21" x14ac:dyDescent="0.15">
      <c r="E48" s="7">
        <f>+E18+E19</f>
        <v>0.34663777383</v>
      </c>
      <c r="F48" s="7">
        <f t="shared" ref="F48:G48" si="9">+F18+F19</f>
        <v>5.5477028223799998</v>
      </c>
      <c r="G48" s="7">
        <f t="shared" si="9"/>
        <v>2.0653998315183499</v>
      </c>
      <c r="I48" s="7">
        <f>+L14-G48</f>
        <v>-0.4780247315183499</v>
      </c>
    </row>
    <row r="49" spans="2:6" x14ac:dyDescent="0.15">
      <c r="B49" s="7">
        <f>+J21+T21</f>
        <v>8.7797730940000012</v>
      </c>
    </row>
    <row r="51" spans="2:6" x14ac:dyDescent="0.15">
      <c r="B51" s="7">
        <f>+B16+B17</f>
        <v>0</v>
      </c>
      <c r="C51" s="7">
        <f t="shared" ref="C51:D51" si="10">+C16+C17</f>
        <v>0</v>
      </c>
      <c r="D51" s="7">
        <f t="shared" si="10"/>
        <v>0</v>
      </c>
    </row>
    <row r="53" spans="2:6" x14ac:dyDescent="0.15">
      <c r="B53">
        <f>+macro_sam_2008_v1!B16</f>
        <v>0.10199653260000001</v>
      </c>
      <c r="C53">
        <f>+macro_sam_2008_v1!C16</f>
        <v>0.2486144549</v>
      </c>
      <c r="D53">
        <f>+macro_sam_2008_v1!D16</f>
        <v>1.0942426750000001</v>
      </c>
    </row>
    <row r="54" spans="2:6" x14ac:dyDescent="0.15">
      <c r="B54">
        <f>+macro_sam_2008_v1!B17</f>
        <v>0</v>
      </c>
      <c r="C54">
        <f>+macro_sam_2008_v1!C17</f>
        <v>0.95100149789999999</v>
      </c>
      <c r="D54">
        <f>+macro_sam_2008_v1!D17</f>
        <v>0</v>
      </c>
    </row>
    <row r="56" spans="2:6" x14ac:dyDescent="0.15">
      <c r="B56">
        <f>+B53+B54</f>
        <v>0.10199653260000001</v>
      </c>
      <c r="C56">
        <f t="shared" ref="C56:D56" si="11">+C53+C54</f>
        <v>1.1996159527999999</v>
      </c>
      <c r="D56">
        <f t="shared" si="11"/>
        <v>1.0942426750000001</v>
      </c>
      <c r="F56">
        <f>+SUM(B56:D56)</f>
        <v>2.3958551604</v>
      </c>
    </row>
    <row r="58" spans="2:6" x14ac:dyDescent="0.15">
      <c r="B58" s="7">
        <f>+E2-B16</f>
        <v>28.688309060889999</v>
      </c>
      <c r="C58" s="7">
        <f>+F3-C16-C17</f>
        <v>61.503785585719996</v>
      </c>
      <c r="D58" s="7">
        <f>+G4-D16</f>
        <v>84.471346864999987</v>
      </c>
    </row>
    <row r="59" spans="2:6" x14ac:dyDescent="0.15">
      <c r="B59" s="7">
        <f>+J5-B56</f>
        <v>13.671550683800001</v>
      </c>
      <c r="C59" s="7">
        <f>+J6-C56</f>
        <v>7.2949102244000024</v>
      </c>
      <c r="D59" s="7">
        <f>+J7-D56</f>
        <v>33.232169909000007</v>
      </c>
    </row>
  </sheetData>
  <conditionalFormatting sqref="B27:V27">
    <cfRule type="cellIs" dxfId="23" priority="2" operator="equal">
      <formula>0</formula>
    </cfRule>
  </conditionalFormatting>
  <conditionalFormatting sqref="B2:W23">
    <cfRule type="cellIs" dxfId="22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8" sqref="B8:D8"/>
    </sheetView>
  </sheetViews>
  <sheetFormatPr baseColWidth="10" defaultRowHeight="10.5" x14ac:dyDescent="0.15"/>
  <cols>
    <col min="2" max="2" width="12.5" bestFit="1" customWidth="1"/>
    <col min="5" max="5" width="12.5" bestFit="1" customWidth="1"/>
    <col min="8" max="8" width="12.5" bestFit="1" customWidth="1"/>
    <col min="16" max="17" width="12" hidden="1" customWidth="1"/>
    <col min="19" max="20" width="12" hidden="1" customWidth="1"/>
    <col min="22" max="22" width="12" hidden="1" customWidth="1"/>
  </cols>
  <sheetData>
    <row r="1" spans="1:25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5" x14ac:dyDescent="0.15">
      <c r="A2" s="1" t="s">
        <v>0</v>
      </c>
      <c r="B2" s="5">
        <v>0</v>
      </c>
      <c r="C2" s="5">
        <v>0</v>
      </c>
      <c r="D2" s="5">
        <v>0</v>
      </c>
      <c r="E2" s="5">
        <v>14.341871281889999</v>
      </c>
      <c r="F2" s="9">
        <v>0</v>
      </c>
      <c r="G2" s="9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f>+SUM(B2:V2)</f>
        <v>14.341871281889999</v>
      </c>
      <c r="X2" t="s">
        <v>51</v>
      </c>
    </row>
    <row r="3" spans="1:25" x14ac:dyDescent="0.15">
      <c r="A3" s="1" t="s">
        <v>1</v>
      </c>
      <c r="B3" s="5">
        <v>0</v>
      </c>
      <c r="C3" s="5">
        <v>0</v>
      </c>
      <c r="D3" s="5">
        <v>0</v>
      </c>
      <c r="E3" s="9">
        <v>0</v>
      </c>
      <c r="F3" s="5">
        <v>19.770212353719991</v>
      </c>
      <c r="G3" s="9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f t="shared" ref="W3:W22" si="0">+SUM(B3:V3)</f>
        <v>19.770212353719991</v>
      </c>
      <c r="X3" t="s">
        <v>52</v>
      </c>
    </row>
    <row r="4" spans="1:25" x14ac:dyDescent="0.15">
      <c r="A4" s="1" t="s">
        <v>2</v>
      </c>
      <c r="B4" s="5">
        <v>0</v>
      </c>
      <c r="C4" s="5">
        <v>0</v>
      </c>
      <c r="D4" s="5">
        <v>0</v>
      </c>
      <c r="E4" s="9">
        <v>0</v>
      </c>
      <c r="F4" s="9">
        <v>0</v>
      </c>
      <c r="G4" s="5">
        <v>49.380252786899987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f t="shared" si="0"/>
        <v>49.380252786899987</v>
      </c>
    </row>
    <row r="5" spans="1:25" x14ac:dyDescent="0.15">
      <c r="A5" s="1" t="s">
        <v>3</v>
      </c>
      <c r="B5" s="9">
        <v>0</v>
      </c>
      <c r="C5" s="9">
        <v>0</v>
      </c>
      <c r="D5" s="9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14.427016289780001</v>
      </c>
      <c r="K5" s="5">
        <v>0</v>
      </c>
      <c r="L5" s="5">
        <v>1.75329745E-2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/>
      <c r="U5" s="5">
        <v>0.16482158305</v>
      </c>
      <c r="V5" s="9"/>
      <c r="W5" s="5">
        <f t="shared" si="0"/>
        <v>14.60937084733</v>
      </c>
      <c r="Y5" s="7">
        <f>+T5+J5</f>
        <v>14.427016289780001</v>
      </c>
    </row>
    <row r="6" spans="1:25" x14ac:dyDescent="0.15">
      <c r="A6" s="1" t="s">
        <v>4</v>
      </c>
      <c r="B6" s="9">
        <v>0</v>
      </c>
      <c r="C6" s="9">
        <v>0</v>
      </c>
      <c r="D6" s="9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4.1279825582999976</v>
      </c>
      <c r="K6" s="5">
        <v>0</v>
      </c>
      <c r="L6" s="5">
        <v>8.3720262130000001E-2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/>
      <c r="U6" s="5">
        <v>20.612622200999997</v>
      </c>
      <c r="V6" s="9"/>
      <c r="W6" s="5">
        <f t="shared" si="0"/>
        <v>24.824325021429996</v>
      </c>
      <c r="Y6" s="7">
        <f t="shared" ref="Y6:Y7" si="1">+T6+J6</f>
        <v>4.1279825582999976</v>
      </c>
    </row>
    <row r="7" spans="1:25" x14ac:dyDescent="0.15">
      <c r="A7" s="1" t="s">
        <v>5</v>
      </c>
      <c r="B7" s="9">
        <v>0</v>
      </c>
      <c r="C7" s="9">
        <v>0</v>
      </c>
      <c r="D7" s="9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37.466723587681663</v>
      </c>
      <c r="K7" s="5">
        <v>0</v>
      </c>
      <c r="L7" s="5">
        <v>10.39411222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/>
      <c r="U7" s="5">
        <v>3.5847821083199998</v>
      </c>
      <c r="V7" s="9"/>
      <c r="W7" s="5">
        <f t="shared" si="0"/>
        <v>51.445617916001666</v>
      </c>
      <c r="Y7" s="7">
        <f t="shared" si="1"/>
        <v>37.466723587681663</v>
      </c>
    </row>
    <row r="8" spans="1:25" x14ac:dyDescent="0.15">
      <c r="A8" s="1" t="s">
        <v>6</v>
      </c>
      <c r="B8" s="5">
        <v>1.1501183518899984</v>
      </c>
      <c r="C8" s="5">
        <v>8.174254673719993</v>
      </c>
      <c r="D8" s="5">
        <v>24.808658336899988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f t="shared" si="0"/>
        <v>34.133031362509982</v>
      </c>
    </row>
    <row r="9" spans="1:25" x14ac:dyDescent="0.15">
      <c r="A9" s="1" t="s">
        <v>7</v>
      </c>
      <c r="B9" s="5">
        <v>13.19175293</v>
      </c>
      <c r="C9" s="5">
        <v>11.59595768</v>
      </c>
      <c r="D9" s="5">
        <v>24.571594449999999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/>
      <c r="U9" s="5">
        <v>0</v>
      </c>
      <c r="V9" s="5">
        <v>0</v>
      </c>
      <c r="W9" s="5">
        <f t="shared" si="0"/>
        <v>49.359305059999997</v>
      </c>
    </row>
    <row r="10" spans="1:25" x14ac:dyDescent="0.15">
      <c r="A10" s="1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34.133031370000005</v>
      </c>
      <c r="I10" s="5">
        <v>17.281502200000006</v>
      </c>
      <c r="J10" s="5">
        <v>0</v>
      </c>
      <c r="K10" s="5">
        <v>17.431284399999999</v>
      </c>
      <c r="L10" s="5">
        <v>0.55637803610000003</v>
      </c>
      <c r="M10" s="5">
        <v>0</v>
      </c>
      <c r="N10" s="5">
        <v>4.0619130575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f t="shared" si="0"/>
        <v>73.464109063600006</v>
      </c>
    </row>
    <row r="11" spans="1:25" x14ac:dyDescent="0.15">
      <c r="A11" s="1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31.096709390000001</v>
      </c>
      <c r="J11" s="5">
        <v>0</v>
      </c>
      <c r="K11" s="5">
        <v>0</v>
      </c>
      <c r="L11" s="5">
        <v>0</v>
      </c>
      <c r="M11" s="5">
        <v>5.8570051300000001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0"/>
        <v>36.953714519999998</v>
      </c>
    </row>
    <row r="12" spans="1:25" x14ac:dyDescent="0.15">
      <c r="A12" s="1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0.98109349999999995</v>
      </c>
      <c r="J12" s="5">
        <v>0</v>
      </c>
      <c r="K12" s="5">
        <v>0</v>
      </c>
      <c r="L12" s="5">
        <v>0</v>
      </c>
      <c r="M12" s="5">
        <v>1.6238783000000001</v>
      </c>
      <c r="N12" s="5">
        <v>0</v>
      </c>
      <c r="O12" s="5">
        <v>5.8828657</v>
      </c>
      <c r="P12" s="9"/>
      <c r="Q12" s="9"/>
      <c r="R12" s="5">
        <v>7.3869768860000002</v>
      </c>
      <c r="S12" s="9"/>
      <c r="T12" s="5">
        <v>0</v>
      </c>
      <c r="U12" s="5">
        <v>0</v>
      </c>
      <c r="V12" s="5">
        <v>0</v>
      </c>
      <c r="W12" s="5">
        <f t="shared" si="0"/>
        <v>15.874814386000001</v>
      </c>
    </row>
    <row r="13" spans="1:25" x14ac:dyDescent="0.15">
      <c r="A13" s="1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7.4808834299999996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f t="shared" si="0"/>
        <v>7.4808834299999996</v>
      </c>
    </row>
    <row r="14" spans="1:25" x14ac:dyDescent="0.15">
      <c r="A14" s="1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1.5233916200000002</v>
      </c>
      <c r="L14" s="5">
        <v>2.5385214375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f t="shared" si="0"/>
        <v>4.0619130575</v>
      </c>
    </row>
    <row r="15" spans="1:25" x14ac:dyDescent="0.15">
      <c r="A15" s="1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1.2089669999999999</v>
      </c>
      <c r="K15" s="5">
        <v>4.6738986999999996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f t="shared" si="0"/>
        <v>5.8828657</v>
      </c>
    </row>
    <row r="16" spans="1:25" hidden="1" x14ac:dyDescent="0.15">
      <c r="A16" s="1" t="s">
        <v>14</v>
      </c>
      <c r="B16" s="9"/>
      <c r="C16" s="9"/>
      <c r="D16" s="9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0"/>
        <v>0</v>
      </c>
    </row>
    <row r="17" spans="1:23" hidden="1" x14ac:dyDescent="0.15">
      <c r="A17" s="1" t="s">
        <v>15</v>
      </c>
      <c r="B17" s="5">
        <v>0</v>
      </c>
      <c r="C17" s="9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f t="shared" si="0"/>
        <v>0</v>
      </c>
    </row>
    <row r="18" spans="1:23" x14ac:dyDescent="0.15">
      <c r="A18" s="1" t="s">
        <v>16</v>
      </c>
      <c r="B18" s="5">
        <v>0</v>
      </c>
      <c r="C18" s="5">
        <v>0</v>
      </c>
      <c r="D18" s="5">
        <v>0</v>
      </c>
      <c r="E18" s="5">
        <f>(254765.8734+B29)/1000000</f>
        <v>0.26749955991000002</v>
      </c>
      <c r="F18" s="5">
        <f>(5033784.004+C29)/1000000</f>
        <v>5.0541126654799999</v>
      </c>
      <c r="G18" s="5">
        <f>(578585.5105+D29)/1000000</f>
        <v>2.0653646604999998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f t="shared" si="0"/>
        <v>7.3869768858900002</v>
      </c>
    </row>
    <row r="19" spans="1:23" hidden="1" x14ac:dyDescent="0.15">
      <c r="A19" s="1" t="s">
        <v>17</v>
      </c>
      <c r="B19" s="5">
        <v>0</v>
      </c>
      <c r="C19" s="5">
        <v>0</v>
      </c>
      <c r="D19" s="5">
        <v>0</v>
      </c>
      <c r="E19" s="9"/>
      <c r="F19" s="9"/>
      <c r="G19" s="9"/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f t="shared" si="0"/>
        <v>0</v>
      </c>
    </row>
    <row r="20" spans="1:23" hidden="1" x14ac:dyDescent="0.15">
      <c r="A20" s="1" t="s">
        <v>18</v>
      </c>
      <c r="B20" s="5">
        <v>0</v>
      </c>
      <c r="C20" s="5">
        <v>0</v>
      </c>
      <c r="D20" s="5">
        <v>0</v>
      </c>
      <c r="E20" s="9"/>
      <c r="F20" s="9"/>
      <c r="G20" s="9"/>
      <c r="H20" s="9"/>
      <c r="I20" s="9"/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f t="shared" si="0"/>
        <v>0</v>
      </c>
    </row>
    <row r="21" spans="1:23" x14ac:dyDescent="0.15">
      <c r="A21" s="1" t="s">
        <v>19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8.7797730940000012</v>
      </c>
      <c r="K21" s="5">
        <v>13.325139800000001</v>
      </c>
      <c r="L21" s="5">
        <v>2.2573129999999999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9"/>
      <c r="U21" s="5">
        <v>0</v>
      </c>
      <c r="V21" s="5">
        <v>0</v>
      </c>
      <c r="W21" s="5">
        <f t="shared" si="0"/>
        <v>24.362225894000002</v>
      </c>
    </row>
    <row r="22" spans="1:23" hidden="1" x14ac:dyDescent="0.15">
      <c r="A22" s="1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9"/>
      <c r="V22" s="5">
        <v>0</v>
      </c>
      <c r="W22" s="5">
        <f t="shared" si="0"/>
        <v>0</v>
      </c>
    </row>
    <row r="23" spans="1:23" x14ac:dyDescent="0.15">
      <c r="A23" s="1" t="s">
        <v>21</v>
      </c>
      <c r="B23" s="5">
        <f>+SUM(B2:B22)</f>
        <v>14.341871281889999</v>
      </c>
      <c r="C23" s="5">
        <f t="shared" ref="C23:V23" si="2">+SUM(C2:C22)</f>
        <v>19.770212353719991</v>
      </c>
      <c r="D23" s="5">
        <f t="shared" si="2"/>
        <v>49.380252786899987</v>
      </c>
      <c r="E23" s="5">
        <f t="shared" si="2"/>
        <v>14.609370841799999</v>
      </c>
      <c r="F23" s="5">
        <f t="shared" si="2"/>
        <v>24.824325019199989</v>
      </c>
      <c r="G23" s="5">
        <f t="shared" si="2"/>
        <v>51.445617447399989</v>
      </c>
      <c r="H23" s="5">
        <f t="shared" si="2"/>
        <v>34.133031370000005</v>
      </c>
      <c r="I23" s="5">
        <f t="shared" si="2"/>
        <v>49.359305090000007</v>
      </c>
      <c r="J23" s="5">
        <f t="shared" si="2"/>
        <v>73.491345959761659</v>
      </c>
      <c r="K23" s="5">
        <f t="shared" si="2"/>
        <v>36.953714519999998</v>
      </c>
      <c r="L23" s="5">
        <f t="shared" si="2"/>
        <v>15.847577930230001</v>
      </c>
      <c r="M23" s="5">
        <f t="shared" si="2"/>
        <v>7.4808834300000004</v>
      </c>
      <c r="N23" s="5">
        <f t="shared" si="2"/>
        <v>4.0619130575</v>
      </c>
      <c r="O23" s="5">
        <f t="shared" si="2"/>
        <v>5.8828657</v>
      </c>
      <c r="P23" s="5">
        <f t="shared" si="2"/>
        <v>0</v>
      </c>
      <c r="Q23" s="5">
        <f t="shared" si="2"/>
        <v>0</v>
      </c>
      <c r="R23" s="5">
        <f t="shared" si="2"/>
        <v>7.3869768860000002</v>
      </c>
      <c r="S23" s="5">
        <f t="shared" si="2"/>
        <v>0</v>
      </c>
      <c r="T23" s="5">
        <f t="shared" si="2"/>
        <v>0</v>
      </c>
      <c r="U23" s="5">
        <f t="shared" si="2"/>
        <v>24.362225892369995</v>
      </c>
      <c r="V23" s="5">
        <f t="shared" si="2"/>
        <v>0</v>
      </c>
      <c r="W23" s="5">
        <v>0</v>
      </c>
    </row>
    <row r="25" spans="1:23" x14ac:dyDescent="0.15">
      <c r="B25">
        <f t="array" ref="B25:V25">TRANSPOSE(W2:W22)</f>
        <v>14.341871281889999</v>
      </c>
      <c r="C25">
        <v>19.770212353719991</v>
      </c>
      <c r="D25">
        <v>49.380252786899987</v>
      </c>
      <c r="E25">
        <v>14.60937084733</v>
      </c>
      <c r="F25">
        <v>24.824325021429996</v>
      </c>
      <c r="G25">
        <v>51.445617916001666</v>
      </c>
      <c r="H25">
        <v>34.133031362509982</v>
      </c>
      <c r="I25">
        <v>49.359305059999997</v>
      </c>
      <c r="J25">
        <v>73.464109063600006</v>
      </c>
      <c r="K25">
        <v>36.953714519999998</v>
      </c>
      <c r="L25">
        <v>15.874814386000001</v>
      </c>
      <c r="M25">
        <v>7.4808834299999996</v>
      </c>
      <c r="N25">
        <v>4.0619130575</v>
      </c>
      <c r="O25">
        <v>5.8828657</v>
      </c>
      <c r="P25">
        <v>0</v>
      </c>
      <c r="Q25">
        <v>0</v>
      </c>
      <c r="R25">
        <v>7.3869768858900002</v>
      </c>
      <c r="S25">
        <v>0</v>
      </c>
      <c r="T25">
        <v>0</v>
      </c>
      <c r="U25">
        <v>24.362225894000002</v>
      </c>
      <c r="V25">
        <v>0</v>
      </c>
    </row>
    <row r="27" spans="1:23" x14ac:dyDescent="0.15">
      <c r="B27" s="2">
        <f>ROUND(B23-B25,1)</f>
        <v>0</v>
      </c>
      <c r="C27" s="2">
        <f t="shared" ref="C27:V27" si="3">ROUND(C23-C25,1)</f>
        <v>0</v>
      </c>
      <c r="D27" s="2">
        <f t="shared" si="3"/>
        <v>0</v>
      </c>
      <c r="E27" s="2">
        <f t="shared" si="3"/>
        <v>0</v>
      </c>
      <c r="F27" s="2">
        <f t="shared" si="3"/>
        <v>0</v>
      </c>
      <c r="G27" s="2">
        <f t="shared" si="3"/>
        <v>0</v>
      </c>
      <c r="H27" s="2">
        <f t="shared" si="3"/>
        <v>0</v>
      </c>
      <c r="I27" s="2">
        <f t="shared" si="3"/>
        <v>0</v>
      </c>
      <c r="J27" s="2">
        <f t="shared" si="3"/>
        <v>0</v>
      </c>
      <c r="K27" s="2">
        <f t="shared" si="3"/>
        <v>0</v>
      </c>
      <c r="L27" s="2">
        <f t="shared" si="3"/>
        <v>0</v>
      </c>
      <c r="M27" s="2">
        <f t="shared" si="3"/>
        <v>0</v>
      </c>
      <c r="N27" s="2">
        <f t="shared" si="3"/>
        <v>0</v>
      </c>
      <c r="O27" s="2">
        <f t="shared" si="3"/>
        <v>0</v>
      </c>
      <c r="P27" s="2">
        <f t="shared" si="3"/>
        <v>0</v>
      </c>
      <c r="Q27" s="2">
        <f t="shared" si="3"/>
        <v>0</v>
      </c>
      <c r="R27" s="2">
        <f t="shared" si="3"/>
        <v>0</v>
      </c>
      <c r="S27" s="2">
        <f t="shared" si="3"/>
        <v>0</v>
      </c>
      <c r="T27" s="2">
        <f t="shared" si="3"/>
        <v>0</v>
      </c>
      <c r="U27" s="2">
        <f t="shared" si="3"/>
        <v>0</v>
      </c>
      <c r="V27" s="2">
        <f t="shared" si="3"/>
        <v>0</v>
      </c>
    </row>
    <row r="29" spans="1:23" x14ac:dyDescent="0.15">
      <c r="A29" s="1" t="s">
        <v>16</v>
      </c>
      <c r="B29" s="5">
        <v>12733.68651</v>
      </c>
      <c r="C29" s="5">
        <v>20328.661479999999</v>
      </c>
      <c r="D29" s="5">
        <v>1486779.15</v>
      </c>
    </row>
    <row r="30" spans="1:23" x14ac:dyDescent="0.15">
      <c r="I30" s="7"/>
      <c r="J30" s="7"/>
    </row>
    <row r="31" spans="1:23" x14ac:dyDescent="0.15">
      <c r="A31" s="8" t="s">
        <v>53</v>
      </c>
      <c r="H31" s="7"/>
      <c r="I31" s="7"/>
      <c r="J31" s="7"/>
      <c r="N31" s="7">
        <f>+N10-E48</f>
        <v>4.0619130575</v>
      </c>
    </row>
    <row r="32" spans="1:23" x14ac:dyDescent="0.15">
      <c r="F32" s="7"/>
      <c r="J32" s="7"/>
      <c r="L32" s="7"/>
      <c r="N32" s="7">
        <f>+L14-E48</f>
        <v>2.5385214375</v>
      </c>
    </row>
    <row r="34" spans="2:9" x14ac:dyDescent="0.15">
      <c r="B34">
        <v>1000000</v>
      </c>
    </row>
    <row r="35" spans="2:9" x14ac:dyDescent="0.15">
      <c r="I35" s="7"/>
    </row>
    <row r="36" spans="2:9" x14ac:dyDescent="0.15">
      <c r="B36" t="s">
        <v>55</v>
      </c>
    </row>
    <row r="37" spans="2:9" x14ac:dyDescent="0.15">
      <c r="B37" t="s">
        <v>56</v>
      </c>
    </row>
    <row r="38" spans="2:9" x14ac:dyDescent="0.15">
      <c r="B38" t="s">
        <v>57</v>
      </c>
    </row>
    <row r="39" spans="2:9" x14ac:dyDescent="0.15">
      <c r="B39" t="s">
        <v>58</v>
      </c>
    </row>
    <row r="40" spans="2:9" x14ac:dyDescent="0.15">
      <c r="B40" t="s">
        <v>59</v>
      </c>
    </row>
    <row r="42" spans="2:9" x14ac:dyDescent="0.15">
      <c r="B42" t="s">
        <v>60</v>
      </c>
    </row>
    <row r="44" spans="2:9" x14ac:dyDescent="0.15">
      <c r="B44" t="s">
        <v>61</v>
      </c>
    </row>
    <row r="45" spans="2:9" x14ac:dyDescent="0.15">
      <c r="B45" t="s">
        <v>62</v>
      </c>
    </row>
    <row r="46" spans="2:9" x14ac:dyDescent="0.15">
      <c r="B46" t="s">
        <v>63</v>
      </c>
    </row>
    <row r="48" spans="2:9" x14ac:dyDescent="0.15">
      <c r="B48" t="s">
        <v>64</v>
      </c>
    </row>
    <row r="50" spans="1:10" x14ac:dyDescent="0.15">
      <c r="C50" s="7"/>
    </row>
    <row r="51" spans="1:10" x14ac:dyDescent="0.15">
      <c r="B51" s="1" t="s">
        <v>0</v>
      </c>
      <c r="C51" s="1" t="s">
        <v>1</v>
      </c>
      <c r="D51" s="1" t="s">
        <v>2</v>
      </c>
    </row>
    <row r="52" spans="1:10" x14ac:dyDescent="0.15">
      <c r="A52" s="1" t="s">
        <v>3</v>
      </c>
      <c r="B52" s="5">
        <v>3.1605375580000001</v>
      </c>
      <c r="C52" s="5">
        <v>11.927984220000001</v>
      </c>
      <c r="D52" s="5">
        <v>0.16408898730000002</v>
      </c>
      <c r="F52" s="7">
        <f>+SUM(B52:D52)</f>
        <v>15.2526107653</v>
      </c>
      <c r="H52" s="7">
        <f>+F52-B56</f>
        <v>0.73260728730000046</v>
      </c>
      <c r="J52" s="7">
        <f>+J5+H52</f>
        <v>15.159623577080001</v>
      </c>
    </row>
    <row r="53" spans="1:10" x14ac:dyDescent="0.15">
      <c r="A53" s="1" t="s">
        <v>4</v>
      </c>
      <c r="B53" s="5">
        <v>6.9137747879999996</v>
      </c>
      <c r="C53" s="5">
        <v>22.11542081</v>
      </c>
      <c r="D53" s="5">
        <v>11.39658985</v>
      </c>
      <c r="F53" s="7">
        <f t="shared" ref="F53:F54" si="4">+SUM(B53:D53)</f>
        <v>40.425785447999999</v>
      </c>
      <c r="H53" s="7">
        <f>+F53-C56</f>
        <v>-3.8729534620000052</v>
      </c>
      <c r="I53" s="7"/>
      <c r="J53" s="7">
        <f t="shared" ref="J53:J54" si="5">+J6+H53</f>
        <v>0.25502909629999237</v>
      </c>
    </row>
    <row r="54" spans="1:10" x14ac:dyDescent="0.15">
      <c r="A54" s="1" t="s">
        <v>5</v>
      </c>
      <c r="B54" s="5">
        <v>4.4456911320000003</v>
      </c>
      <c r="C54" s="5">
        <v>10.25533388</v>
      </c>
      <c r="D54" s="5">
        <v>25.790391530000001</v>
      </c>
      <c r="F54" s="7">
        <f t="shared" si="4"/>
        <v>40.491416542000003</v>
      </c>
      <c r="H54" s="7">
        <f>+F54-D56</f>
        <v>3.1403461747000065</v>
      </c>
      <c r="J54" s="7">
        <f t="shared" si="5"/>
        <v>40.60706976238167</v>
      </c>
    </row>
    <row r="56" spans="1:10" x14ac:dyDescent="0.15">
      <c r="B56" s="7">
        <f>+SUM(B52:B54)</f>
        <v>14.520003478</v>
      </c>
      <c r="C56" s="7">
        <f t="shared" ref="C56:D56" si="6">+SUM(C52:C54)</f>
        <v>44.298738910000004</v>
      </c>
      <c r="D56" s="7">
        <f t="shared" si="6"/>
        <v>37.351070367299997</v>
      </c>
    </row>
    <row r="58" spans="1:10" x14ac:dyDescent="0.15">
      <c r="B58" t="s">
        <v>65</v>
      </c>
    </row>
    <row r="60" spans="1:10" x14ac:dyDescent="0.15">
      <c r="B60" t="s">
        <v>66</v>
      </c>
    </row>
    <row r="61" spans="1:10" x14ac:dyDescent="0.15">
      <c r="B61" s="1" t="s">
        <v>3</v>
      </c>
      <c r="C61" s="1" t="s">
        <v>4</v>
      </c>
      <c r="D61" s="1" t="s">
        <v>5</v>
      </c>
    </row>
    <row r="62" spans="1:10" x14ac:dyDescent="0.15">
      <c r="A62" s="1" t="s">
        <v>0</v>
      </c>
      <c r="B62" s="5">
        <v>14.16830558289</v>
      </c>
      <c r="C62" s="5">
        <v>1.069724034</v>
      </c>
      <c r="D62" s="5">
        <v>0.94155019620000002</v>
      </c>
    </row>
    <row r="63" spans="1:10" x14ac:dyDescent="0.15">
      <c r="A63" s="1" t="s">
        <v>1</v>
      </c>
      <c r="B63" s="5">
        <v>0.17356569899999999</v>
      </c>
      <c r="C63" s="5">
        <v>17.205046675719991</v>
      </c>
      <c r="D63" s="5">
        <v>1.318426093</v>
      </c>
    </row>
    <row r="64" spans="1:10" x14ac:dyDescent="0.15">
      <c r="A64" s="1" t="s">
        <v>2</v>
      </c>
      <c r="B64" s="5">
        <v>0</v>
      </c>
      <c r="C64" s="5">
        <v>1.495441644</v>
      </c>
      <c r="D64" s="5">
        <v>47.12027649769999</v>
      </c>
    </row>
    <row r="66" spans="1:4" x14ac:dyDescent="0.15">
      <c r="B66" s="7">
        <f>+SUM(B62:B64)</f>
        <v>14.341871281889999</v>
      </c>
      <c r="C66" s="7">
        <f t="shared" ref="C66:D66" si="7">+SUM(C62:C64)</f>
        <v>19.770212353719991</v>
      </c>
      <c r="D66" s="7">
        <f t="shared" si="7"/>
        <v>49.380252786899987</v>
      </c>
    </row>
    <row r="68" spans="1:4" x14ac:dyDescent="0.15">
      <c r="B68" s="7">
        <v>1.8377085351100018</v>
      </c>
      <c r="C68" s="7">
        <v>-1.073173883719992</v>
      </c>
      <c r="D68" s="7">
        <v>-0.76453463689998813</v>
      </c>
    </row>
    <row r="69" spans="1:4" x14ac:dyDescent="0.15">
      <c r="A69" s="1" t="s">
        <v>6</v>
      </c>
      <c r="B69" s="5">
        <v>2.9878268870000002</v>
      </c>
      <c r="C69" s="5">
        <v>7.1010807900000001</v>
      </c>
      <c r="D69" s="5">
        <v>24.0441237</v>
      </c>
    </row>
    <row r="71" spans="1:4" x14ac:dyDescent="0.15">
      <c r="B71" s="7">
        <f>+B69-B68</f>
        <v>1.1501183518899984</v>
      </c>
      <c r="C71" s="7">
        <f t="shared" ref="C71:D71" si="8">+C69-C68</f>
        <v>8.174254673719993</v>
      </c>
      <c r="D71" s="7">
        <f t="shared" si="8"/>
        <v>24.808658336899988</v>
      </c>
    </row>
  </sheetData>
  <conditionalFormatting sqref="B29:D29">
    <cfRule type="cellIs" dxfId="21" priority="4" operator="notEqual">
      <formula>0</formula>
    </cfRule>
  </conditionalFormatting>
  <conditionalFormatting sqref="B52:D54">
    <cfRule type="cellIs" dxfId="20" priority="3" operator="notEqual">
      <formula>0</formula>
    </cfRule>
  </conditionalFormatting>
  <conditionalFormatting sqref="B62:D64">
    <cfRule type="cellIs" dxfId="19" priority="2" operator="notEqual">
      <formula>0</formula>
    </cfRule>
  </conditionalFormatting>
  <conditionalFormatting sqref="B69:D69">
    <cfRule type="cellIs" dxfId="18" priority="1" operator="notEqual">
      <formula>0</formula>
    </cfRule>
  </conditionalFormatting>
  <conditionalFormatting sqref="B27:V27">
    <cfRule type="cellIs" dxfId="17" priority="6" operator="equal">
      <formula>0</formula>
    </cfRule>
  </conditionalFormatting>
  <conditionalFormatting sqref="B2:W23">
    <cfRule type="cellIs" dxfId="16" priority="5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75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H6" sqref="H6"/>
    </sheetView>
  </sheetViews>
  <sheetFormatPr baseColWidth="10" defaultRowHeight="10.5" x14ac:dyDescent="0.15"/>
  <cols>
    <col min="2" max="4" width="12.5" bestFit="1" customWidth="1"/>
  </cols>
  <sheetData>
    <row r="1" spans="1:17" x14ac:dyDescent="0.15">
      <c r="B1" s="1" t="s">
        <v>67</v>
      </c>
      <c r="C1" s="1" t="s">
        <v>68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16</v>
      </c>
      <c r="M1" s="1" t="s">
        <v>19</v>
      </c>
      <c r="N1" s="1" t="s">
        <v>21</v>
      </c>
      <c r="O1" t="s">
        <v>51</v>
      </c>
    </row>
    <row r="2" spans="1:17" x14ac:dyDescent="0.15">
      <c r="A2" s="1" t="s">
        <v>67</v>
      </c>
      <c r="B2" s="5">
        <v>0</v>
      </c>
      <c r="C2" s="5">
        <v>83.492336422509979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f t="shared" ref="N2:N13" si="0">+SUM(B2:M2)</f>
        <v>83.492336422509979</v>
      </c>
      <c r="O2" t="s">
        <v>52</v>
      </c>
      <c r="Q2" s="7">
        <f>+SUM(C2:C2)</f>
        <v>83.492336422509979</v>
      </c>
    </row>
    <row r="3" spans="1:17" x14ac:dyDescent="0.15">
      <c r="A3" s="1" t="s">
        <v>68</v>
      </c>
      <c r="B3" s="9">
        <v>0</v>
      </c>
      <c r="C3" s="5">
        <v>0</v>
      </c>
      <c r="D3" s="5">
        <v>0</v>
      </c>
      <c r="E3" s="5">
        <v>0</v>
      </c>
      <c r="F3" s="5">
        <v>56.02172243576166</v>
      </c>
      <c r="G3" s="5">
        <v>0</v>
      </c>
      <c r="H3" s="5">
        <v>10.495365456630001</v>
      </c>
      <c r="I3" s="5">
        <v>0</v>
      </c>
      <c r="J3" s="5">
        <v>0</v>
      </c>
      <c r="K3" s="5">
        <v>0</v>
      </c>
      <c r="L3" s="5">
        <v>0</v>
      </c>
      <c r="M3" s="5">
        <v>24.362225892369995</v>
      </c>
      <c r="N3" s="5">
        <f t="shared" si="0"/>
        <v>90.879313784761649</v>
      </c>
      <c r="P3" s="7"/>
    </row>
    <row r="4" spans="1:17" x14ac:dyDescent="0.15">
      <c r="A4" s="1" t="s">
        <v>6</v>
      </c>
      <c r="B4" s="5">
        <v>34.133031362509982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f t="shared" si="0"/>
        <v>34.133031362509982</v>
      </c>
      <c r="Q4" s="7">
        <f>+SUM(B4:B4)</f>
        <v>34.133031362509982</v>
      </c>
    </row>
    <row r="5" spans="1:17" x14ac:dyDescent="0.15">
      <c r="A5" s="1" t="s">
        <v>7</v>
      </c>
      <c r="B5" s="5">
        <v>49.359305059999997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f t="shared" si="0"/>
        <v>49.359305059999997</v>
      </c>
      <c r="Q5" s="7">
        <f>+SUM(B5:B5)</f>
        <v>49.359305059999997</v>
      </c>
    </row>
    <row r="6" spans="1:17" x14ac:dyDescent="0.15">
      <c r="A6" s="1" t="s">
        <v>8</v>
      </c>
      <c r="B6" s="5">
        <v>0</v>
      </c>
      <c r="C6" s="5">
        <v>0</v>
      </c>
      <c r="D6" s="5">
        <v>34.133031370000005</v>
      </c>
      <c r="E6" s="5">
        <v>17.281502200000006</v>
      </c>
      <c r="F6" s="5">
        <v>0</v>
      </c>
      <c r="G6" s="5">
        <v>17.431284399999999</v>
      </c>
      <c r="H6" s="5">
        <v>0.55637803610000003</v>
      </c>
      <c r="I6" s="5">
        <v>0</v>
      </c>
      <c r="J6" s="5">
        <f>4.0619130575+0.0272368961616536</f>
        <v>4.0891499536616536</v>
      </c>
      <c r="K6" s="5">
        <v>0</v>
      </c>
      <c r="L6" s="5">
        <v>0</v>
      </c>
      <c r="M6" s="5">
        <v>0</v>
      </c>
      <c r="N6" s="5">
        <f t="shared" si="0"/>
        <v>73.491345959761674</v>
      </c>
    </row>
    <row r="7" spans="1:17" x14ac:dyDescent="0.15">
      <c r="A7" s="1" t="s">
        <v>9</v>
      </c>
      <c r="B7" s="5">
        <v>0</v>
      </c>
      <c r="C7" s="5">
        <v>0</v>
      </c>
      <c r="D7" s="5">
        <v>0</v>
      </c>
      <c r="E7" s="5">
        <v>31.096709390000001</v>
      </c>
      <c r="F7" s="5">
        <v>0</v>
      </c>
      <c r="G7" s="5">
        <v>0</v>
      </c>
      <c r="H7" s="5">
        <v>0</v>
      </c>
      <c r="I7" s="5">
        <v>5.8570051300000001</v>
      </c>
      <c r="J7" s="5">
        <v>0</v>
      </c>
      <c r="K7" s="5">
        <v>0</v>
      </c>
      <c r="L7" s="5">
        <v>0</v>
      </c>
      <c r="M7" s="5">
        <v>0</v>
      </c>
      <c r="N7" s="5">
        <f t="shared" si="0"/>
        <v>36.953714519999998</v>
      </c>
    </row>
    <row r="8" spans="1:17" x14ac:dyDescent="0.15">
      <c r="A8" s="1" t="s">
        <v>10</v>
      </c>
      <c r="B8" s="5">
        <v>0</v>
      </c>
      <c r="C8" s="5">
        <v>0</v>
      </c>
      <c r="D8" s="5">
        <v>0</v>
      </c>
      <c r="E8" s="5">
        <v>0.98109349999999995</v>
      </c>
      <c r="F8" s="5">
        <v>0</v>
      </c>
      <c r="G8" s="5">
        <v>0</v>
      </c>
      <c r="H8" s="5">
        <v>0</v>
      </c>
      <c r="I8" s="5">
        <v>1.6238783000000001</v>
      </c>
      <c r="J8" s="5">
        <v>0</v>
      </c>
      <c r="K8" s="5">
        <v>5.8828657</v>
      </c>
      <c r="L8" s="5">
        <v>7.3869768860000002</v>
      </c>
      <c r="M8" s="5">
        <v>0</v>
      </c>
      <c r="N8" s="5">
        <f t="shared" si="0"/>
        <v>15.874814386000001</v>
      </c>
    </row>
    <row r="9" spans="1:17" x14ac:dyDescent="0.15">
      <c r="A9" s="1" t="s">
        <v>11</v>
      </c>
      <c r="B9" s="5">
        <v>0</v>
      </c>
      <c r="C9" s="5">
        <v>0</v>
      </c>
      <c r="D9" s="5">
        <v>0</v>
      </c>
      <c r="E9" s="5">
        <v>0</v>
      </c>
      <c r="F9" s="5">
        <v>7.4808834299999996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f t="shared" si="0"/>
        <v>7.4808834299999996</v>
      </c>
    </row>
    <row r="10" spans="1:17" x14ac:dyDescent="0.15">
      <c r="A10" s="1" t="s">
        <v>12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1.5233916200000002</v>
      </c>
      <c r="H10" s="5">
        <f>2.5385214375+0.0272368961616536</f>
        <v>2.5657583336616536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f t="shared" si="0"/>
        <v>4.0891499536616536</v>
      </c>
    </row>
    <row r="11" spans="1:17" x14ac:dyDescent="0.15">
      <c r="A11" s="1" t="s">
        <v>13</v>
      </c>
      <c r="B11" s="5">
        <v>0</v>
      </c>
      <c r="C11" s="5">
        <v>0</v>
      </c>
      <c r="D11" s="5">
        <v>0</v>
      </c>
      <c r="E11" s="5">
        <v>0</v>
      </c>
      <c r="F11" s="5">
        <v>1.2089669999999999</v>
      </c>
      <c r="G11" s="5">
        <v>4.6738986999999996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f t="shared" si="0"/>
        <v>5.8828657</v>
      </c>
    </row>
    <row r="12" spans="1:17" x14ac:dyDescent="0.15">
      <c r="A12" s="1" t="s">
        <v>16</v>
      </c>
      <c r="B12" s="5">
        <v>0</v>
      </c>
      <c r="C12" s="5">
        <v>7.3869768858900002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f t="shared" si="0"/>
        <v>7.3869768858900002</v>
      </c>
      <c r="Q12" s="7">
        <f>+SUM(C12:C12)</f>
        <v>7.3869768858900002</v>
      </c>
    </row>
    <row r="13" spans="1:17" x14ac:dyDescent="0.15">
      <c r="A13" s="1" t="s">
        <v>19</v>
      </c>
      <c r="B13" s="5">
        <v>0</v>
      </c>
      <c r="C13" s="5">
        <v>0</v>
      </c>
      <c r="D13" s="5">
        <v>0</v>
      </c>
      <c r="E13" s="5">
        <v>0</v>
      </c>
      <c r="F13" s="5">
        <v>8.7797730940000012</v>
      </c>
      <c r="G13" s="5">
        <v>13.325139800000001</v>
      </c>
      <c r="H13" s="5">
        <v>2.2573129999999999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f t="shared" si="0"/>
        <v>24.362225894000002</v>
      </c>
    </row>
    <row r="14" spans="1:17" x14ac:dyDescent="0.15">
      <c r="A14" s="1" t="s">
        <v>21</v>
      </c>
      <c r="B14" s="5">
        <f t="shared" ref="B14:M14" si="1">+SUM(B2:B13)</f>
        <v>83.492336422509979</v>
      </c>
      <c r="C14" s="5">
        <f t="shared" si="1"/>
        <v>90.879313308399986</v>
      </c>
      <c r="D14" s="5">
        <f t="shared" si="1"/>
        <v>34.133031370000005</v>
      </c>
      <c r="E14" s="5">
        <f t="shared" si="1"/>
        <v>49.359305090000007</v>
      </c>
      <c r="F14" s="5">
        <f t="shared" si="1"/>
        <v>73.491345959761659</v>
      </c>
      <c r="G14" s="5">
        <f t="shared" si="1"/>
        <v>36.953714519999998</v>
      </c>
      <c r="H14" s="5">
        <f t="shared" si="1"/>
        <v>15.874814826391654</v>
      </c>
      <c r="I14" s="5">
        <f t="shared" si="1"/>
        <v>7.4808834300000004</v>
      </c>
      <c r="J14" s="5">
        <f t="shared" si="1"/>
        <v>4.0891499536616536</v>
      </c>
      <c r="K14" s="5">
        <f t="shared" si="1"/>
        <v>5.8828657</v>
      </c>
      <c r="L14" s="5">
        <f t="shared" si="1"/>
        <v>7.3869768860000002</v>
      </c>
      <c r="M14" s="5">
        <f t="shared" si="1"/>
        <v>24.362225892369995</v>
      </c>
      <c r="N14" s="5">
        <v>0</v>
      </c>
    </row>
    <row r="16" spans="1:17" x14ac:dyDescent="0.15">
      <c r="B16">
        <f t="array" ref="B16:M16">TRANSPOSE(N2:N13)</f>
        <v>83.492336422509979</v>
      </c>
      <c r="C16">
        <v>90.879313784761649</v>
      </c>
      <c r="D16">
        <v>34.133031362509982</v>
      </c>
      <c r="E16">
        <v>49.359305059999997</v>
      </c>
      <c r="F16">
        <v>73.491345959761674</v>
      </c>
      <c r="G16">
        <v>36.953714519999998</v>
      </c>
      <c r="H16">
        <v>15.874814386000001</v>
      </c>
      <c r="I16">
        <v>7.4808834299999996</v>
      </c>
      <c r="J16">
        <v>4.0891499536616536</v>
      </c>
      <c r="K16">
        <v>5.8828657</v>
      </c>
      <c r="L16">
        <v>7.3869768858900002</v>
      </c>
      <c r="M16">
        <v>24.362225894000002</v>
      </c>
    </row>
    <row r="17" spans="1:13" x14ac:dyDescent="0.15">
      <c r="B17" s="10">
        <f>+B14-B16</f>
        <v>0</v>
      </c>
      <c r="C17" s="10">
        <f t="shared" ref="C17:M17" si="2">+C14-C16</f>
        <v>-4.7636166300435434E-7</v>
      </c>
      <c r="D17" s="10">
        <f t="shared" si="2"/>
        <v>7.4900228241858713E-9</v>
      </c>
      <c r="E17" s="10">
        <f t="shared" si="2"/>
        <v>3.0000009587638488E-8</v>
      </c>
      <c r="F17" s="10">
        <f t="shared" si="2"/>
        <v>0</v>
      </c>
      <c r="G17" s="10">
        <f t="shared" si="2"/>
        <v>0</v>
      </c>
      <c r="H17" s="10">
        <f t="shared" si="2"/>
        <v>4.4039165381093426E-7</v>
      </c>
      <c r="I17" s="10">
        <f t="shared" si="2"/>
        <v>0</v>
      </c>
      <c r="J17" s="10">
        <f t="shared" si="2"/>
        <v>0</v>
      </c>
      <c r="K17" s="10">
        <f t="shared" si="2"/>
        <v>0</v>
      </c>
      <c r="L17" s="10">
        <f t="shared" si="2"/>
        <v>1.1000000910144081E-10</v>
      </c>
      <c r="M17" s="10">
        <f t="shared" si="2"/>
        <v>-1.6300063521157426E-9</v>
      </c>
    </row>
    <row r="18" spans="1:13" x14ac:dyDescent="0.15">
      <c r="B18" s="2">
        <f>ROUND(B14-B16,1)</f>
        <v>0</v>
      </c>
      <c r="C18" s="2">
        <f t="shared" ref="C18:M18" si="3">ROUND(C14-C16,1)</f>
        <v>0</v>
      </c>
      <c r="D18" s="2">
        <f t="shared" si="3"/>
        <v>0</v>
      </c>
      <c r="E18" s="2">
        <f t="shared" si="3"/>
        <v>0</v>
      </c>
      <c r="F18" s="2">
        <f t="shared" si="3"/>
        <v>0</v>
      </c>
      <c r="G18" s="2">
        <f t="shared" si="3"/>
        <v>0</v>
      </c>
      <c r="H18" s="2">
        <f t="shared" si="3"/>
        <v>0</v>
      </c>
      <c r="I18" s="2">
        <f t="shared" si="3"/>
        <v>0</v>
      </c>
      <c r="J18" s="2">
        <f t="shared" si="3"/>
        <v>0</v>
      </c>
      <c r="K18" s="2">
        <f t="shared" si="3"/>
        <v>0</v>
      </c>
      <c r="L18" s="2">
        <f t="shared" si="3"/>
        <v>0</v>
      </c>
      <c r="M18" s="2">
        <f t="shared" si="3"/>
        <v>0</v>
      </c>
    </row>
    <row r="20" spans="1:13" x14ac:dyDescent="0.15">
      <c r="A20" s="1" t="s">
        <v>16</v>
      </c>
      <c r="B20" s="5">
        <v>12733.68651</v>
      </c>
      <c r="F20" s="7">
        <f>+SUM(F3:F3)</f>
        <v>56.02172243576166</v>
      </c>
      <c r="H20" s="7">
        <f>+SUM(H3:H3)</f>
        <v>10.495365456630001</v>
      </c>
      <c r="M20" s="7">
        <f>+SUM(M3:M3)</f>
        <v>24.362225892369995</v>
      </c>
    </row>
    <row r="21" spans="1:13" x14ac:dyDescent="0.15">
      <c r="E21" s="7"/>
      <c r="F21" s="7"/>
    </row>
    <row r="22" spans="1:13" x14ac:dyDescent="0.15">
      <c r="A22" s="8" t="s">
        <v>69</v>
      </c>
      <c r="D22" s="7"/>
      <c r="E22" s="7"/>
      <c r="F22" s="7"/>
      <c r="J22" s="7">
        <f>+J6-C39</f>
        <v>4.0891499536616536</v>
      </c>
    </row>
    <row r="23" spans="1:13" x14ac:dyDescent="0.15">
      <c r="F23" s="7"/>
      <c r="H23" s="7"/>
      <c r="J23" s="7">
        <f>+H10-C39</f>
        <v>2.5657583336616536</v>
      </c>
    </row>
    <row r="25" spans="1:13" x14ac:dyDescent="0.15">
      <c r="B25">
        <v>1000000</v>
      </c>
      <c r="F25">
        <v>2.723689616165359E-2</v>
      </c>
    </row>
    <row r="26" spans="1:13" x14ac:dyDescent="0.15">
      <c r="E26" s="7"/>
    </row>
    <row r="27" spans="1:13" x14ac:dyDescent="0.15">
      <c r="B27" t="s">
        <v>55</v>
      </c>
    </row>
    <row r="28" spans="1:13" x14ac:dyDescent="0.15">
      <c r="B28" t="s">
        <v>56</v>
      </c>
    </row>
    <row r="29" spans="1:13" x14ac:dyDescent="0.15">
      <c r="B29" t="s">
        <v>57</v>
      </c>
    </row>
    <row r="30" spans="1:13" x14ac:dyDescent="0.15">
      <c r="B30" t="s">
        <v>58</v>
      </c>
    </row>
    <row r="31" spans="1:13" x14ac:dyDescent="0.15">
      <c r="B31" t="s">
        <v>59</v>
      </c>
    </row>
    <row r="33" spans="1:6" x14ac:dyDescent="0.15">
      <c r="B33" t="s">
        <v>60</v>
      </c>
    </row>
    <row r="35" spans="1:6" x14ac:dyDescent="0.15">
      <c r="B35" t="s">
        <v>61</v>
      </c>
    </row>
    <row r="36" spans="1:6" x14ac:dyDescent="0.15">
      <c r="B36" t="s">
        <v>62</v>
      </c>
    </row>
    <row r="37" spans="1:6" x14ac:dyDescent="0.15">
      <c r="B37" t="s">
        <v>63</v>
      </c>
    </row>
    <row r="39" spans="1:6" x14ac:dyDescent="0.15">
      <c r="B39" t="s">
        <v>64</v>
      </c>
    </row>
    <row r="42" spans="1:6" x14ac:dyDescent="0.15">
      <c r="B42" s="1" t="s">
        <v>0</v>
      </c>
    </row>
    <row r="43" spans="1:6" x14ac:dyDescent="0.15">
      <c r="A43" s="1" t="s">
        <v>3</v>
      </c>
      <c r="B43" s="5">
        <v>3.1605375580000001</v>
      </c>
      <c r="D43" s="7" t="e">
        <f>+#REF!-B47</f>
        <v>#REF!</v>
      </c>
      <c r="F43" s="7" t="e">
        <f>+F3+D43</f>
        <v>#REF!</v>
      </c>
    </row>
    <row r="44" spans="1:6" x14ac:dyDescent="0.15">
      <c r="A44" s="1" t="s">
        <v>4</v>
      </c>
      <c r="B44" s="5">
        <v>6.9137747879999996</v>
      </c>
      <c r="D44" s="7" t="e">
        <f>+#REF!-#REF!</f>
        <v>#REF!</v>
      </c>
      <c r="E44" s="7"/>
      <c r="F44" s="7" t="e">
        <f>+#REF!+D44</f>
        <v>#REF!</v>
      </c>
    </row>
    <row r="45" spans="1:6" x14ac:dyDescent="0.15">
      <c r="A45" s="1" t="s">
        <v>5</v>
      </c>
      <c r="B45" s="5">
        <v>4.4456911320000003</v>
      </c>
      <c r="D45" s="7" t="e">
        <f>+#REF!-#REF!</f>
        <v>#REF!</v>
      </c>
      <c r="F45" s="7" t="e">
        <f>+#REF!+D45</f>
        <v>#REF!</v>
      </c>
    </row>
    <row r="47" spans="1:6" x14ac:dyDescent="0.15">
      <c r="B47" s="7">
        <f>+SUM(B43:B45)</f>
        <v>14.520003478</v>
      </c>
    </row>
    <row r="49" spans="1:2" x14ac:dyDescent="0.15">
      <c r="B49" t="s">
        <v>65</v>
      </c>
    </row>
    <row r="51" spans="1:2" x14ac:dyDescent="0.15">
      <c r="B51" t="s">
        <v>66</v>
      </c>
    </row>
    <row r="52" spans="1:2" x14ac:dyDescent="0.15">
      <c r="B52" s="1" t="s">
        <v>3</v>
      </c>
    </row>
    <row r="53" spans="1:2" x14ac:dyDescent="0.15">
      <c r="A53" s="1" t="s">
        <v>0</v>
      </c>
      <c r="B53" s="5">
        <v>14.16830558289</v>
      </c>
    </row>
    <row r="54" spans="1:2" x14ac:dyDescent="0.15">
      <c r="A54" s="1" t="s">
        <v>1</v>
      </c>
      <c r="B54" s="5">
        <v>0.17356569899999999</v>
      </c>
    </row>
    <row r="55" spans="1:2" x14ac:dyDescent="0.15">
      <c r="A55" s="1" t="s">
        <v>2</v>
      </c>
      <c r="B55" s="5">
        <v>0</v>
      </c>
    </row>
    <row r="57" spans="1:2" x14ac:dyDescent="0.15">
      <c r="B57" s="7">
        <f>+SUM(B53:B55)</f>
        <v>14.341871281889999</v>
      </c>
    </row>
    <row r="59" spans="1:2" x14ac:dyDescent="0.15">
      <c r="B59" s="7">
        <v>1.8377085351100018</v>
      </c>
    </row>
    <row r="60" spans="1:2" x14ac:dyDescent="0.15">
      <c r="A60" s="1" t="s">
        <v>6</v>
      </c>
      <c r="B60" s="5">
        <v>2.9878268870000002</v>
      </c>
    </row>
    <row r="62" spans="1:2" x14ac:dyDescent="0.15">
      <c r="B62" s="7">
        <f>+B60-B59</f>
        <v>1.1501183518899984</v>
      </c>
    </row>
    <row r="65" spans="1:10" x14ac:dyDescent="0.15">
      <c r="A65" s="7" t="str">
        <f>+A4</f>
        <v>Trabajo</v>
      </c>
      <c r="B65" s="7">
        <f>+B4</f>
        <v>34.133031362509982</v>
      </c>
    </row>
    <row r="66" spans="1:10" x14ac:dyDescent="0.15">
      <c r="A66" s="7" t="str">
        <f>+A5</f>
        <v>Capital</v>
      </c>
      <c r="B66" s="7">
        <f>+B5</f>
        <v>49.359305059999997</v>
      </c>
    </row>
    <row r="67" spans="1:10" x14ac:dyDescent="0.15">
      <c r="A67" s="7" t="str">
        <f>+A14</f>
        <v>Total</v>
      </c>
      <c r="B67" s="7">
        <f>+B14</f>
        <v>83.492336422509979</v>
      </c>
      <c r="D67">
        <f>B70*(B65^B69)*(B66^(1-B69))</f>
        <v>83.492336422509979</v>
      </c>
      <c r="F67" s="7">
        <f>+B67-D67</f>
        <v>0</v>
      </c>
      <c r="H67">
        <f>(B65^B69)*(B66^D69)</f>
        <v>41.746166797763046</v>
      </c>
      <c r="J67">
        <f>+B67/H67</f>
        <v>2.0000000677184064</v>
      </c>
    </row>
    <row r="69" spans="1:10" x14ac:dyDescent="0.15">
      <c r="A69" t="s">
        <v>70</v>
      </c>
      <c r="B69">
        <v>0.45415154287117893</v>
      </c>
      <c r="D69">
        <f>1-B69</f>
        <v>0.54584845712882113</v>
      </c>
    </row>
    <row r="70" spans="1:10" x14ac:dyDescent="0.15">
      <c r="A70" t="s">
        <v>71</v>
      </c>
      <c r="B70">
        <f>+J67</f>
        <v>2.0000000677184064</v>
      </c>
      <c r="F70">
        <f>+B70*B69*(B66^D69)*(B65^(B69-1))</f>
        <v>1.1108938143082672</v>
      </c>
    </row>
    <row r="71" spans="1:10" x14ac:dyDescent="0.15">
      <c r="F71">
        <f>+D69*B70*(B66^(D69-1))*(B65^B69)</f>
        <v>0.92331451917543572</v>
      </c>
    </row>
    <row r="75" spans="1:10" x14ac:dyDescent="0.15">
      <c r="A75" t="s">
        <v>72</v>
      </c>
      <c r="B75">
        <v>8.7999999999999995E-2</v>
      </c>
      <c r="D75">
        <f>7.5+8.8+56</f>
        <v>72.3</v>
      </c>
    </row>
  </sheetData>
  <conditionalFormatting sqref="B20">
    <cfRule type="cellIs" dxfId="15" priority="4" operator="notEqual">
      <formula>0</formula>
    </cfRule>
  </conditionalFormatting>
  <conditionalFormatting sqref="B43:B45">
    <cfRule type="cellIs" dxfId="14" priority="3" operator="notEqual">
      <formula>0</formula>
    </cfRule>
  </conditionalFormatting>
  <conditionalFormatting sqref="B53:B55">
    <cfRule type="cellIs" dxfId="13" priority="2" operator="notEqual">
      <formula>0</formula>
    </cfRule>
  </conditionalFormatting>
  <conditionalFormatting sqref="B60">
    <cfRule type="cellIs" dxfId="12" priority="1" operator="notEqual">
      <formula>0</formula>
    </cfRule>
  </conditionalFormatting>
  <conditionalFormatting sqref="B18:M18">
    <cfRule type="cellIs" dxfId="11" priority="6" operator="equal">
      <formula>0</formula>
    </cfRule>
  </conditionalFormatting>
  <conditionalFormatting sqref="B2:N14">
    <cfRule type="cellIs" dxfId="10" priority="7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Y58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L14" sqref="L14"/>
    </sheetView>
  </sheetViews>
  <sheetFormatPr baseColWidth="10" defaultRowHeight="10.5" x14ac:dyDescent="0.15"/>
  <cols>
    <col min="2" max="2" width="12.5" bestFit="1" customWidth="1"/>
    <col min="5" max="5" width="12.5" bestFit="1" customWidth="1"/>
    <col min="8" max="8" width="12.5" bestFit="1" customWidth="1"/>
    <col min="16" max="17" width="12" hidden="1" customWidth="1"/>
    <col min="19" max="20" width="12" hidden="1" customWidth="1"/>
    <col min="22" max="22" width="12" hidden="1" customWidth="1"/>
  </cols>
  <sheetData>
    <row r="1" spans="1:25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5" x14ac:dyDescent="0.15">
      <c r="A2" s="1" t="s">
        <v>0</v>
      </c>
      <c r="B2" s="5">
        <v>0</v>
      </c>
      <c r="C2" s="5">
        <v>0</v>
      </c>
      <c r="D2" s="5">
        <v>0</v>
      </c>
      <c r="E2" s="5">
        <v>14.16830558289</v>
      </c>
      <c r="F2" s="5">
        <v>1.069724034</v>
      </c>
      <c r="G2" s="5">
        <v>0.94155019620000002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f>+SUM(B2:V2)</f>
        <v>16.179579813090001</v>
      </c>
      <c r="X2" t="s">
        <v>51</v>
      </c>
    </row>
    <row r="3" spans="1:25" x14ac:dyDescent="0.15">
      <c r="A3" s="1" t="s">
        <v>1</v>
      </c>
      <c r="B3" s="5">
        <v>0</v>
      </c>
      <c r="C3" s="5">
        <v>0</v>
      </c>
      <c r="D3" s="5">
        <v>0</v>
      </c>
      <c r="E3" s="5">
        <v>0.17356569899999999</v>
      </c>
      <c r="F3" s="5">
        <v>17.205046675719991</v>
      </c>
      <c r="G3" s="5">
        <v>1.318426093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f t="shared" ref="W3:W22" si="0">+SUM(B3:V3)</f>
        <v>18.697038467719992</v>
      </c>
      <c r="X3" t="s">
        <v>52</v>
      </c>
    </row>
    <row r="4" spans="1:25" x14ac:dyDescent="0.15">
      <c r="A4" s="1" t="s">
        <v>2</v>
      </c>
      <c r="B4" s="5">
        <v>0</v>
      </c>
      <c r="C4" s="5">
        <v>0</v>
      </c>
      <c r="D4" s="5">
        <v>0</v>
      </c>
      <c r="E4" s="5">
        <v>0</v>
      </c>
      <c r="F4" s="5">
        <v>1.495441644</v>
      </c>
      <c r="G4" s="5">
        <v>47.12027649769999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f t="shared" si="0"/>
        <v>48.615718141699993</v>
      </c>
    </row>
    <row r="5" spans="1:25" x14ac:dyDescent="0.15">
      <c r="A5" s="1" t="s">
        <v>3</v>
      </c>
      <c r="B5" s="9"/>
      <c r="C5" s="9"/>
      <c r="D5" s="9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14.427016289780001</v>
      </c>
      <c r="K5" s="5">
        <v>0</v>
      </c>
      <c r="L5" s="5">
        <v>1.75329745E-2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/>
      <c r="U5" s="5">
        <v>0.16482158305</v>
      </c>
      <c r="V5" s="9"/>
      <c r="W5" s="5">
        <f t="shared" si="0"/>
        <v>14.60937084733</v>
      </c>
      <c r="Y5" s="7">
        <f>+T5+J5</f>
        <v>14.427016289780001</v>
      </c>
    </row>
    <row r="6" spans="1:25" x14ac:dyDescent="0.15">
      <c r="A6" s="1" t="s">
        <v>4</v>
      </c>
      <c r="B6" s="9"/>
      <c r="C6" s="9"/>
      <c r="D6" s="9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4.1279825582999976</v>
      </c>
      <c r="K6" s="5">
        <v>0</v>
      </c>
      <c r="L6" s="5">
        <v>8.3720262130000001E-2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/>
      <c r="U6" s="5">
        <v>20.612622200999997</v>
      </c>
      <c r="V6" s="9"/>
      <c r="W6" s="5">
        <f t="shared" si="0"/>
        <v>24.824325021429996</v>
      </c>
      <c r="Y6" s="7">
        <f t="shared" ref="Y6:Y7" si="1">+T6+J6</f>
        <v>4.1279825582999976</v>
      </c>
    </row>
    <row r="7" spans="1:25" x14ac:dyDescent="0.15">
      <c r="A7" s="1" t="s">
        <v>5</v>
      </c>
      <c r="B7" s="9"/>
      <c r="C7" s="9"/>
      <c r="D7" s="9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37.466723587681663</v>
      </c>
      <c r="K7" s="5">
        <v>0</v>
      </c>
      <c r="L7" s="5">
        <v>10.39411222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/>
      <c r="U7" s="5">
        <v>3.5847821083199998</v>
      </c>
      <c r="V7" s="9"/>
      <c r="W7" s="5">
        <f t="shared" si="0"/>
        <v>51.445617916001666</v>
      </c>
      <c r="Y7" s="7">
        <f t="shared" si="1"/>
        <v>37.466723587681663</v>
      </c>
    </row>
    <row r="8" spans="1:25" x14ac:dyDescent="0.15">
      <c r="A8" s="1" t="s">
        <v>6</v>
      </c>
      <c r="B8" s="5">
        <v>2.9878268870000002</v>
      </c>
      <c r="C8" s="5">
        <v>7.1010807900000001</v>
      </c>
      <c r="D8" s="5">
        <v>24.0441237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f t="shared" si="0"/>
        <v>34.133031377000002</v>
      </c>
    </row>
    <row r="9" spans="1:25" x14ac:dyDescent="0.15">
      <c r="A9" s="1" t="s">
        <v>7</v>
      </c>
      <c r="B9" s="5">
        <v>13.19175293</v>
      </c>
      <c r="C9" s="5">
        <v>11.59595768</v>
      </c>
      <c r="D9" s="5">
        <v>24.571594449999999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/>
      <c r="U9" s="5">
        <v>0</v>
      </c>
      <c r="V9" s="5">
        <v>0</v>
      </c>
      <c r="W9" s="5">
        <f t="shared" si="0"/>
        <v>49.359305059999997</v>
      </c>
    </row>
    <row r="10" spans="1:25" x14ac:dyDescent="0.15">
      <c r="A10" s="1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34.133031370000005</v>
      </c>
      <c r="I10" s="5">
        <v>17.281502200000006</v>
      </c>
      <c r="J10" s="5">
        <v>0</v>
      </c>
      <c r="K10" s="5">
        <v>17.431284399999999</v>
      </c>
      <c r="L10" s="5">
        <v>0.55637803610000003</v>
      </c>
      <c r="M10" s="5">
        <v>0</v>
      </c>
      <c r="N10" s="5">
        <v>4.0619130575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f t="shared" si="0"/>
        <v>73.464109063600006</v>
      </c>
    </row>
    <row r="11" spans="1:25" x14ac:dyDescent="0.15">
      <c r="A11" s="1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31.096709390000001</v>
      </c>
      <c r="J11" s="5">
        <v>0</v>
      </c>
      <c r="K11" s="5">
        <v>0</v>
      </c>
      <c r="L11" s="5">
        <v>0</v>
      </c>
      <c r="M11" s="5">
        <v>5.8570051300000001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0"/>
        <v>36.953714519999998</v>
      </c>
    </row>
    <row r="12" spans="1:25" x14ac:dyDescent="0.15">
      <c r="A12" s="1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0.98109349999999995</v>
      </c>
      <c r="J12" s="5">
        <v>0</v>
      </c>
      <c r="K12" s="5">
        <v>0</v>
      </c>
      <c r="L12" s="5">
        <v>0</v>
      </c>
      <c r="M12" s="5">
        <v>1.6238783000000001</v>
      </c>
      <c r="N12" s="5">
        <v>0</v>
      </c>
      <c r="O12" s="5">
        <v>5.8828657</v>
      </c>
      <c r="P12" s="9"/>
      <c r="Q12" s="9"/>
      <c r="R12" s="5">
        <v>7.3869768860000002</v>
      </c>
      <c r="S12" s="9"/>
      <c r="T12" s="5">
        <v>0</v>
      </c>
      <c r="U12" s="5">
        <v>0</v>
      </c>
      <c r="V12" s="5">
        <v>0</v>
      </c>
      <c r="W12" s="5">
        <f t="shared" si="0"/>
        <v>15.874814386000001</v>
      </c>
    </row>
    <row r="13" spans="1:25" x14ac:dyDescent="0.15">
      <c r="A13" s="1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7.4808834299999996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f t="shared" si="0"/>
        <v>7.4808834299999996</v>
      </c>
    </row>
    <row r="14" spans="1:25" x14ac:dyDescent="0.15">
      <c r="A14" s="1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1.5233916200000002</v>
      </c>
      <c r="L14" s="5">
        <v>2.5385214375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f t="shared" si="0"/>
        <v>4.0619130575</v>
      </c>
    </row>
    <row r="15" spans="1:25" x14ac:dyDescent="0.15">
      <c r="A15" s="1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1.2089669999999999</v>
      </c>
      <c r="K15" s="5">
        <v>4.6738986999999996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f t="shared" si="0"/>
        <v>5.8828657</v>
      </c>
    </row>
    <row r="16" spans="1:25" x14ac:dyDescent="0.15">
      <c r="A16" s="1" t="s">
        <v>14</v>
      </c>
      <c r="B16" s="9"/>
      <c r="C16" s="9"/>
      <c r="D16" s="9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0"/>
        <v>0</v>
      </c>
    </row>
    <row r="17" spans="1:23" x14ac:dyDescent="0.15">
      <c r="A17" s="1" t="s">
        <v>15</v>
      </c>
      <c r="B17" s="5">
        <v>0</v>
      </c>
      <c r="C17" s="9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f t="shared" si="0"/>
        <v>0</v>
      </c>
    </row>
    <row r="18" spans="1:23" x14ac:dyDescent="0.15">
      <c r="A18" s="1" t="s">
        <v>16</v>
      </c>
      <c r="B18" s="5">
        <v>0</v>
      </c>
      <c r="C18" s="5">
        <v>0</v>
      </c>
      <c r="D18" s="5">
        <v>0</v>
      </c>
      <c r="E18" s="5">
        <f>(254765.8734+B29)/1000000</f>
        <v>0.26749955991000002</v>
      </c>
      <c r="F18" s="5">
        <f>(5033784.004+C29)/1000000</f>
        <v>5.0541126654799999</v>
      </c>
      <c r="G18" s="5">
        <f>(578585.5105+D29)/1000000</f>
        <v>2.0653646604999998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f t="shared" si="0"/>
        <v>7.3869768858900002</v>
      </c>
    </row>
    <row r="19" spans="1:23" x14ac:dyDescent="0.15">
      <c r="A19" s="1" t="s">
        <v>17</v>
      </c>
      <c r="B19" s="5">
        <v>0</v>
      </c>
      <c r="C19" s="5">
        <v>0</v>
      </c>
      <c r="D19" s="5">
        <v>0</v>
      </c>
      <c r="E19" s="9"/>
      <c r="F19" s="9"/>
      <c r="G19" s="9"/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f t="shared" si="0"/>
        <v>0</v>
      </c>
    </row>
    <row r="20" spans="1:23" x14ac:dyDescent="0.15">
      <c r="A20" s="1" t="s">
        <v>18</v>
      </c>
      <c r="B20" s="5">
        <v>0</v>
      </c>
      <c r="C20" s="5">
        <v>0</v>
      </c>
      <c r="D20" s="5">
        <v>0</v>
      </c>
      <c r="E20" s="9"/>
      <c r="F20" s="9"/>
      <c r="G20" s="9"/>
      <c r="H20" s="9"/>
      <c r="I20" s="9"/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f t="shared" si="0"/>
        <v>0</v>
      </c>
    </row>
    <row r="21" spans="1:23" x14ac:dyDescent="0.15">
      <c r="A21" s="1" t="s">
        <v>19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8.7797730940000012</v>
      </c>
      <c r="K21" s="5">
        <v>13.325139800000001</v>
      </c>
      <c r="L21" s="5">
        <v>2.2573129999999999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9"/>
      <c r="U21" s="5">
        <v>0</v>
      </c>
      <c r="V21" s="5">
        <v>0</v>
      </c>
      <c r="W21" s="5">
        <f t="shared" si="0"/>
        <v>24.362225894000002</v>
      </c>
    </row>
    <row r="22" spans="1:23" x14ac:dyDescent="0.15">
      <c r="A22" s="1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9"/>
      <c r="V22" s="5">
        <v>0</v>
      </c>
      <c r="W22" s="5">
        <f t="shared" si="0"/>
        <v>0</v>
      </c>
    </row>
    <row r="23" spans="1:23" x14ac:dyDescent="0.15">
      <c r="A23" s="1" t="s">
        <v>21</v>
      </c>
      <c r="B23" s="5">
        <f>+SUM(B2:B22)</f>
        <v>16.179579817</v>
      </c>
      <c r="C23" s="5">
        <f t="shared" ref="C23:V23" si="2">+SUM(C2:C22)</f>
        <v>18.697038469999999</v>
      </c>
      <c r="D23" s="5">
        <f t="shared" si="2"/>
        <v>48.615718149999999</v>
      </c>
      <c r="E23" s="5">
        <f t="shared" si="2"/>
        <v>14.609370841799999</v>
      </c>
      <c r="F23" s="5">
        <f t="shared" si="2"/>
        <v>24.824325019199989</v>
      </c>
      <c r="G23" s="5">
        <f t="shared" si="2"/>
        <v>51.445617447399989</v>
      </c>
      <c r="H23" s="5">
        <f t="shared" si="2"/>
        <v>34.133031370000005</v>
      </c>
      <c r="I23" s="5">
        <f t="shared" si="2"/>
        <v>49.359305090000007</v>
      </c>
      <c r="J23" s="5">
        <f t="shared" si="2"/>
        <v>73.491345959761659</v>
      </c>
      <c r="K23" s="5">
        <f t="shared" si="2"/>
        <v>36.953714519999998</v>
      </c>
      <c r="L23" s="5">
        <f t="shared" si="2"/>
        <v>15.847577930230001</v>
      </c>
      <c r="M23" s="5">
        <f t="shared" si="2"/>
        <v>7.4808834300000004</v>
      </c>
      <c r="N23" s="5">
        <f t="shared" si="2"/>
        <v>4.0619130575</v>
      </c>
      <c r="O23" s="5">
        <f t="shared" si="2"/>
        <v>5.8828657</v>
      </c>
      <c r="P23" s="5">
        <f t="shared" si="2"/>
        <v>0</v>
      </c>
      <c r="Q23" s="5">
        <f t="shared" si="2"/>
        <v>0</v>
      </c>
      <c r="R23" s="5">
        <f t="shared" si="2"/>
        <v>7.3869768860000002</v>
      </c>
      <c r="S23" s="5">
        <f t="shared" si="2"/>
        <v>0</v>
      </c>
      <c r="T23" s="5">
        <f t="shared" si="2"/>
        <v>0</v>
      </c>
      <c r="U23" s="5">
        <f t="shared" si="2"/>
        <v>24.362225892369995</v>
      </c>
      <c r="V23" s="5">
        <f t="shared" si="2"/>
        <v>0</v>
      </c>
      <c r="W23" s="5">
        <v>0</v>
      </c>
    </row>
    <row r="25" spans="1:23" x14ac:dyDescent="0.15">
      <c r="B25">
        <f t="array" ref="B25:V25">TRANSPOSE(W2:W22)</f>
        <v>16.179579813090001</v>
      </c>
      <c r="C25">
        <v>18.697038467719992</v>
      </c>
      <c r="D25">
        <v>48.615718141699993</v>
      </c>
      <c r="E25">
        <v>14.60937084733</v>
      </c>
      <c r="F25">
        <v>24.824325021429996</v>
      </c>
      <c r="G25">
        <v>51.445617916001666</v>
      </c>
      <c r="H25">
        <v>34.133031377000002</v>
      </c>
      <c r="I25">
        <v>49.359305059999997</v>
      </c>
      <c r="J25">
        <v>73.464109063600006</v>
      </c>
      <c r="K25">
        <v>36.953714519999998</v>
      </c>
      <c r="L25">
        <v>15.874814386000001</v>
      </c>
      <c r="M25">
        <v>7.4808834299999996</v>
      </c>
      <c r="N25">
        <v>4.0619130575</v>
      </c>
      <c r="O25">
        <v>5.8828657</v>
      </c>
      <c r="P25">
        <v>0</v>
      </c>
      <c r="Q25">
        <v>0</v>
      </c>
      <c r="R25">
        <v>7.3869768858900002</v>
      </c>
      <c r="S25">
        <v>0</v>
      </c>
      <c r="T25">
        <v>0</v>
      </c>
      <c r="U25">
        <v>24.362225894000002</v>
      </c>
      <c r="V25">
        <v>0</v>
      </c>
    </row>
    <row r="27" spans="1:23" x14ac:dyDescent="0.15">
      <c r="B27" s="2">
        <f>ROUND(B23-B25,1)</f>
        <v>0</v>
      </c>
      <c r="C27" s="2">
        <f t="shared" ref="C27:V27" si="3">ROUND(C23-C25,1)</f>
        <v>0</v>
      </c>
      <c r="D27" s="2">
        <f t="shared" si="3"/>
        <v>0</v>
      </c>
      <c r="E27" s="2">
        <f t="shared" si="3"/>
        <v>0</v>
      </c>
      <c r="F27" s="2">
        <f t="shared" si="3"/>
        <v>0</v>
      </c>
      <c r="G27" s="2">
        <f t="shared" si="3"/>
        <v>0</v>
      </c>
      <c r="H27" s="2">
        <f t="shared" si="3"/>
        <v>0</v>
      </c>
      <c r="I27" s="2">
        <f t="shared" si="3"/>
        <v>0</v>
      </c>
      <c r="J27" s="2">
        <f t="shared" si="3"/>
        <v>0</v>
      </c>
      <c r="K27" s="2">
        <f t="shared" si="3"/>
        <v>0</v>
      </c>
      <c r="L27" s="2">
        <f t="shared" si="3"/>
        <v>0</v>
      </c>
      <c r="M27" s="2">
        <f t="shared" si="3"/>
        <v>0</v>
      </c>
      <c r="N27" s="2">
        <f t="shared" si="3"/>
        <v>0</v>
      </c>
      <c r="O27" s="2">
        <f t="shared" si="3"/>
        <v>0</v>
      </c>
      <c r="P27" s="2">
        <f t="shared" si="3"/>
        <v>0</v>
      </c>
      <c r="Q27" s="2">
        <f t="shared" si="3"/>
        <v>0</v>
      </c>
      <c r="R27" s="2">
        <f t="shared" si="3"/>
        <v>0</v>
      </c>
      <c r="S27" s="2">
        <f t="shared" si="3"/>
        <v>0</v>
      </c>
      <c r="T27" s="2">
        <f t="shared" si="3"/>
        <v>0</v>
      </c>
      <c r="U27" s="2">
        <f t="shared" si="3"/>
        <v>0</v>
      </c>
      <c r="V27" s="2">
        <f t="shared" si="3"/>
        <v>0</v>
      </c>
    </row>
    <row r="29" spans="1:23" x14ac:dyDescent="0.15">
      <c r="A29" s="1" t="s">
        <v>16</v>
      </c>
      <c r="B29" s="5">
        <v>12733.68651</v>
      </c>
      <c r="C29" s="5">
        <v>20328.661479999999</v>
      </c>
      <c r="D29" s="5">
        <v>1486779.15</v>
      </c>
    </row>
    <row r="30" spans="1:23" x14ac:dyDescent="0.15">
      <c r="I30" s="7"/>
      <c r="J30" s="7"/>
    </row>
    <row r="31" spans="1:23" x14ac:dyDescent="0.15">
      <c r="A31" s="8" t="s">
        <v>53</v>
      </c>
      <c r="H31" s="7"/>
      <c r="I31" s="7"/>
      <c r="J31" s="7"/>
      <c r="N31" s="7">
        <f>+N10-E48</f>
        <v>4.0619130575</v>
      </c>
    </row>
    <row r="32" spans="1:23" x14ac:dyDescent="0.15">
      <c r="F32" s="7"/>
      <c r="J32" s="7"/>
      <c r="L32" s="7"/>
      <c r="N32" s="7">
        <f>+L14-E48</f>
        <v>2.5385214375</v>
      </c>
    </row>
    <row r="34" spans="2:9" x14ac:dyDescent="0.15">
      <c r="B34">
        <v>1000000</v>
      </c>
    </row>
    <row r="35" spans="2:9" x14ac:dyDescent="0.15">
      <c r="I35" s="7"/>
    </row>
    <row r="36" spans="2:9" x14ac:dyDescent="0.15">
      <c r="B36" t="s">
        <v>55</v>
      </c>
    </row>
    <row r="37" spans="2:9" x14ac:dyDescent="0.15">
      <c r="B37" t="s">
        <v>56</v>
      </c>
    </row>
    <row r="38" spans="2:9" x14ac:dyDescent="0.15">
      <c r="B38" t="s">
        <v>57</v>
      </c>
    </row>
    <row r="39" spans="2:9" x14ac:dyDescent="0.15">
      <c r="B39" t="s">
        <v>58</v>
      </c>
    </row>
    <row r="40" spans="2:9" x14ac:dyDescent="0.15">
      <c r="B40" t="s">
        <v>59</v>
      </c>
    </row>
    <row r="42" spans="2:9" x14ac:dyDescent="0.15">
      <c r="B42" t="s">
        <v>60</v>
      </c>
    </row>
    <row r="44" spans="2:9" x14ac:dyDescent="0.15">
      <c r="B44" t="s">
        <v>61</v>
      </c>
    </row>
    <row r="45" spans="2:9" x14ac:dyDescent="0.15">
      <c r="B45" t="s">
        <v>62</v>
      </c>
    </row>
    <row r="46" spans="2:9" x14ac:dyDescent="0.15">
      <c r="B46" t="s">
        <v>63</v>
      </c>
    </row>
    <row r="48" spans="2:9" x14ac:dyDescent="0.15">
      <c r="B48" t="s">
        <v>64</v>
      </c>
    </row>
    <row r="50" spans="1:10" x14ac:dyDescent="0.15">
      <c r="C50" s="7"/>
    </row>
    <row r="51" spans="1:10" x14ac:dyDescent="0.15">
      <c r="B51" s="1" t="s">
        <v>0</v>
      </c>
      <c r="C51" s="1" t="s">
        <v>1</v>
      </c>
      <c r="D51" s="1" t="s">
        <v>2</v>
      </c>
    </row>
    <row r="52" spans="1:10" x14ac:dyDescent="0.15">
      <c r="A52" s="1" t="s">
        <v>3</v>
      </c>
      <c r="B52" s="5">
        <v>3.1605375580000001</v>
      </c>
      <c r="C52" s="5">
        <v>11.927984220000001</v>
      </c>
      <c r="D52" s="5">
        <v>0.16408898730000002</v>
      </c>
      <c r="F52" s="7">
        <f>+SUM(B52:D52)</f>
        <v>15.2526107653</v>
      </c>
      <c r="H52" s="7">
        <f>+F52-B56</f>
        <v>0.73260728730000046</v>
      </c>
      <c r="J52" s="7">
        <f>+J5+H52</f>
        <v>15.159623577080001</v>
      </c>
    </row>
    <row r="53" spans="1:10" x14ac:dyDescent="0.15">
      <c r="A53" s="1" t="s">
        <v>4</v>
      </c>
      <c r="B53" s="5">
        <v>6.9137747879999996</v>
      </c>
      <c r="C53" s="5">
        <v>22.11542081</v>
      </c>
      <c r="D53" s="5">
        <v>11.39658985</v>
      </c>
      <c r="F53" s="7">
        <f t="shared" ref="F53:F54" si="4">+SUM(B53:D53)</f>
        <v>40.425785447999999</v>
      </c>
      <c r="H53" s="7">
        <f>+F53-C56</f>
        <v>-3.8729534620000052</v>
      </c>
      <c r="I53" s="7"/>
      <c r="J53" s="7">
        <f t="shared" ref="J53:J54" si="5">+J6+H53</f>
        <v>0.25502909629999237</v>
      </c>
    </row>
    <row r="54" spans="1:10" x14ac:dyDescent="0.15">
      <c r="A54" s="1" t="s">
        <v>5</v>
      </c>
      <c r="B54" s="5">
        <v>4.4456911320000003</v>
      </c>
      <c r="C54" s="5">
        <v>10.25533388</v>
      </c>
      <c r="D54" s="5">
        <v>25.790391530000001</v>
      </c>
      <c r="F54" s="7">
        <f t="shared" si="4"/>
        <v>40.491416542000003</v>
      </c>
      <c r="H54" s="7">
        <f>+F54-D56</f>
        <v>3.1403461747000065</v>
      </c>
      <c r="J54" s="7">
        <f t="shared" si="5"/>
        <v>40.60706976238167</v>
      </c>
    </row>
    <row r="56" spans="1:10" x14ac:dyDescent="0.15">
      <c r="B56" s="7">
        <f>+SUM(B52:B54)</f>
        <v>14.520003478</v>
      </c>
      <c r="C56" s="7">
        <f t="shared" ref="C56:D56" si="6">+SUM(C52:C54)</f>
        <v>44.298738910000004</v>
      </c>
      <c r="D56" s="7">
        <f t="shared" si="6"/>
        <v>37.351070367299997</v>
      </c>
    </row>
    <row r="58" spans="1:10" x14ac:dyDescent="0.15">
      <c r="B58" t="s">
        <v>65</v>
      </c>
    </row>
  </sheetData>
  <conditionalFormatting sqref="B29:D29">
    <cfRule type="cellIs" dxfId="9" priority="2" operator="notEqual">
      <formula>0</formula>
    </cfRule>
  </conditionalFormatting>
  <conditionalFormatting sqref="B52:D54">
    <cfRule type="cellIs" dxfId="8" priority="1" operator="notEqual">
      <formula>0</formula>
    </cfRule>
  </conditionalFormatting>
  <conditionalFormatting sqref="B27:V27">
    <cfRule type="cellIs" dxfId="7" priority="4" operator="equal">
      <formula>0</formula>
    </cfRule>
  </conditionalFormatting>
  <conditionalFormatting sqref="B2:W23">
    <cfRule type="cellIs" dxfId="6" priority="3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AA39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41" sqref="B41"/>
    </sheetView>
  </sheetViews>
  <sheetFormatPr baseColWidth="10" defaultRowHeight="10.5" x14ac:dyDescent="0.15"/>
  <cols>
    <col min="2" max="2" width="12.5" bestFit="1" customWidth="1"/>
    <col min="5" max="5" width="12.5" bestFit="1" customWidth="1"/>
    <col min="8" max="8" width="12.5" bestFit="1" customWidth="1"/>
  </cols>
  <sheetData>
    <row r="1" spans="1:27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7" x14ac:dyDescent="0.15">
      <c r="A2" s="1" t="s">
        <v>0</v>
      </c>
      <c r="B2" s="5">
        <v>0</v>
      </c>
      <c r="C2" s="5">
        <v>0</v>
      </c>
      <c r="D2" s="5">
        <v>0</v>
      </c>
      <c r="E2" s="5">
        <f>(28803039.28-B29)/1000000</f>
        <v>28.79030559349</v>
      </c>
      <c r="F2" s="5">
        <v>1.069724034</v>
      </c>
      <c r="G2" s="5">
        <v>0.94155019620000002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f>+SUM(B2:V2)</f>
        <v>30.801579823690002</v>
      </c>
      <c r="X2" t="s">
        <v>51</v>
      </c>
    </row>
    <row r="3" spans="1:27" x14ac:dyDescent="0.15">
      <c r="A3" s="1" t="s">
        <v>1</v>
      </c>
      <c r="B3" s="5">
        <v>0</v>
      </c>
      <c r="C3" s="5">
        <v>0</v>
      </c>
      <c r="D3" s="5">
        <v>0</v>
      </c>
      <c r="E3" s="5">
        <v>0.17356569899999999</v>
      </c>
      <c r="F3" s="5">
        <f>(62723730.2-C29)/1000000</f>
        <v>62.703401538519998</v>
      </c>
      <c r="G3" s="5">
        <v>1.318426093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f t="shared" ref="W3:W22" si="0">+SUM(B3:V3)</f>
        <v>64.195393330520005</v>
      </c>
      <c r="X3" t="s">
        <v>52</v>
      </c>
    </row>
    <row r="4" spans="1:27" x14ac:dyDescent="0.15">
      <c r="A4" s="1" t="s">
        <v>2</v>
      </c>
      <c r="B4" s="5">
        <v>0</v>
      </c>
      <c r="C4" s="5">
        <v>0</v>
      </c>
      <c r="D4" s="5">
        <v>0</v>
      </c>
      <c r="E4" s="5">
        <v>0</v>
      </c>
      <c r="F4" s="5">
        <v>1.495441644</v>
      </c>
      <c r="G4" s="5">
        <f>(87052368.69-D29)/1000000</f>
        <v>85.565589539999991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f t="shared" si="0"/>
        <v>87.061031183999987</v>
      </c>
    </row>
    <row r="5" spans="1:27" x14ac:dyDescent="0.15">
      <c r="A5" s="1" t="s">
        <v>3</v>
      </c>
      <c r="B5" s="5">
        <v>3.1605375580000001</v>
      </c>
      <c r="C5" s="5">
        <v>11.927984220000001</v>
      </c>
      <c r="D5" s="5">
        <v>0.16408898730000002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1.211591557</v>
      </c>
      <c r="K5" s="5">
        <v>0</v>
      </c>
      <c r="L5" s="5">
        <v>1.75329745E-2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18.405805440000002</v>
      </c>
      <c r="U5" s="5">
        <v>0.2579645881</v>
      </c>
      <c r="V5" s="5">
        <v>-9.3143005050000005E-2</v>
      </c>
      <c r="W5" s="5">
        <f t="shared" si="0"/>
        <v>35.052362319850005</v>
      </c>
      <c r="Y5">
        <f>+U5/U23+V5/U23</f>
        <v>6.7654566450534052E-3</v>
      </c>
      <c r="Z5">
        <f>+(U5+V5)/$U$23</f>
        <v>6.7654566450534043E-3</v>
      </c>
    </row>
    <row r="6" spans="1:27" x14ac:dyDescent="0.15">
      <c r="A6" s="1" t="s">
        <v>4</v>
      </c>
      <c r="B6" s="5">
        <v>6.9137747879999996</v>
      </c>
      <c r="C6" s="5">
        <v>22.11542081</v>
      </c>
      <c r="D6" s="5">
        <v>11.39658985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23.08991091</v>
      </c>
      <c r="K6" s="5">
        <v>0</v>
      </c>
      <c r="L6" s="5">
        <v>8.3720262130000001E-2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13.48988344</v>
      </c>
      <c r="U6" s="5">
        <v>19.344119329999998</v>
      </c>
      <c r="V6" s="5">
        <v>1.2685028710000001</v>
      </c>
      <c r="W6" s="5">
        <f t="shared" si="0"/>
        <v>97.701922261129994</v>
      </c>
      <c r="Z6">
        <f t="shared" ref="Z6:Z7" si="1">+(U6+V6)/$U$23</f>
        <v>0.84608944569732891</v>
      </c>
    </row>
    <row r="7" spans="1:27" x14ac:dyDescent="0.15">
      <c r="A7" s="1" t="s">
        <v>5</v>
      </c>
      <c r="B7" s="5">
        <v>4.4456911320000003</v>
      </c>
      <c r="C7" s="5">
        <v>10.25533388</v>
      </c>
      <c r="D7" s="5">
        <v>25.790391530000001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32.838168070000002</v>
      </c>
      <c r="K7" s="5">
        <v>0</v>
      </c>
      <c r="L7" s="5">
        <v>10.39411222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7.0574766129999995</v>
      </c>
      <c r="U7" s="5">
        <v>3.5766314599999998</v>
      </c>
      <c r="V7" s="5">
        <v>8.1506483200000004E-3</v>
      </c>
      <c r="W7" s="5">
        <f t="shared" si="0"/>
        <v>94.365955553320006</v>
      </c>
      <c r="Z7">
        <f t="shared" si="1"/>
        <v>0.1471450976687006</v>
      </c>
    </row>
    <row r="8" spans="1:27" x14ac:dyDescent="0.15">
      <c r="A8" s="1" t="s">
        <v>6</v>
      </c>
      <c r="B8" s="5">
        <v>2.9878268870000002</v>
      </c>
      <c r="C8" s="5">
        <v>7.1010807900000001</v>
      </c>
      <c r="D8" s="5">
        <v>24.0441237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f t="shared" si="0"/>
        <v>34.133031377000002</v>
      </c>
      <c r="Y8">
        <f>+B8/(B8+B9)</f>
        <v>0.18466653156596002</v>
      </c>
      <c r="Z8">
        <f t="shared" ref="Z8:AA8" si="2">+C8/(C8+C9)</f>
        <v>0.37979708933015854</v>
      </c>
      <c r="AA8">
        <f t="shared" si="2"/>
        <v>0.49457510070742422</v>
      </c>
    </row>
    <row r="9" spans="1:27" x14ac:dyDescent="0.15">
      <c r="A9" s="1" t="s">
        <v>7</v>
      </c>
      <c r="B9" s="5">
        <v>13.19175293</v>
      </c>
      <c r="C9" s="5">
        <v>11.59595768</v>
      </c>
      <c r="D9" s="5">
        <v>24.571594449999999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4.7540541509999992</v>
      </c>
      <c r="U9" s="5">
        <v>0</v>
      </c>
      <c r="V9" s="5">
        <v>0</v>
      </c>
      <c r="W9" s="5">
        <f t="shared" si="0"/>
        <v>54.113359210999995</v>
      </c>
      <c r="Y9">
        <f>1-Y8</f>
        <v>0.81533346843403998</v>
      </c>
      <c r="Z9">
        <f t="shared" ref="Z9:AA9" si="3">1-Z8</f>
        <v>0.62020291066984146</v>
      </c>
      <c r="AA9">
        <f t="shared" si="3"/>
        <v>0.50542489929257584</v>
      </c>
    </row>
    <row r="10" spans="1:27" x14ac:dyDescent="0.15">
      <c r="A10" s="1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34.131359490000001</v>
      </c>
      <c r="I10" s="5">
        <v>12.060735800000002</v>
      </c>
      <c r="J10" s="5">
        <v>0</v>
      </c>
      <c r="K10" s="5">
        <v>17.431284399999999</v>
      </c>
      <c r="L10" s="5">
        <v>2.1073795340000001</v>
      </c>
      <c r="M10" s="5">
        <v>0</v>
      </c>
      <c r="N10" s="5">
        <v>5.5067667199999999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f t="shared" si="0"/>
        <v>71.237525944000012</v>
      </c>
    </row>
    <row r="11" spans="1:27" x14ac:dyDescent="0.15">
      <c r="A11" s="1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31.096709390000001</v>
      </c>
      <c r="J11" s="5">
        <v>0</v>
      </c>
      <c r="K11" s="5">
        <v>0</v>
      </c>
      <c r="L11" s="5">
        <v>0</v>
      </c>
      <c r="M11" s="5">
        <v>5.8570051300000001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0"/>
        <v>36.953714519999998</v>
      </c>
    </row>
    <row r="12" spans="1:27" x14ac:dyDescent="0.15">
      <c r="A12" s="1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0.98109349999999995</v>
      </c>
      <c r="J12" s="5">
        <v>0</v>
      </c>
      <c r="K12" s="5">
        <v>0</v>
      </c>
      <c r="L12" s="5">
        <v>0</v>
      </c>
      <c r="M12" s="5">
        <v>1.6238783000000001</v>
      </c>
      <c r="N12" s="5">
        <v>0</v>
      </c>
      <c r="O12" s="5">
        <v>5.8828657</v>
      </c>
      <c r="P12" s="5">
        <v>1.444853663</v>
      </c>
      <c r="Q12" s="5">
        <v>0.95100149789999999</v>
      </c>
      <c r="R12" s="5">
        <v>7.3869768860000002</v>
      </c>
      <c r="S12" s="5">
        <v>0.5727635418</v>
      </c>
      <c r="T12" s="5">
        <v>0</v>
      </c>
      <c r="U12" s="5">
        <v>0</v>
      </c>
      <c r="V12" s="5">
        <v>0</v>
      </c>
      <c r="W12" s="5">
        <f t="shared" si="0"/>
        <v>18.843433088699999</v>
      </c>
    </row>
    <row r="13" spans="1:27" x14ac:dyDescent="0.15">
      <c r="A13" s="1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7.4808834299999996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f t="shared" si="0"/>
        <v>7.4808834299999996</v>
      </c>
    </row>
    <row r="14" spans="1:27" x14ac:dyDescent="0.15">
      <c r="A14" s="1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1.5233916200000002</v>
      </c>
      <c r="L14" s="5">
        <v>3.9833750999999999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f t="shared" si="0"/>
        <v>5.5067667199999999</v>
      </c>
    </row>
    <row r="15" spans="1:27" x14ac:dyDescent="0.15">
      <c r="A15" s="1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1.2089669999999999</v>
      </c>
      <c r="K15" s="5">
        <v>4.6738986999999996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f t="shared" si="0"/>
        <v>5.8828657</v>
      </c>
    </row>
    <row r="16" spans="1:27" x14ac:dyDescent="0.15">
      <c r="A16" s="1" t="s">
        <v>14</v>
      </c>
      <c r="B16" s="5">
        <v>0.10199653260000001</v>
      </c>
      <c r="C16" s="5">
        <v>0.2486144549</v>
      </c>
      <c r="D16" s="5">
        <v>1.0942426750000001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0"/>
        <v>1.4448536625000001</v>
      </c>
    </row>
    <row r="17" spans="1:23" x14ac:dyDescent="0.15">
      <c r="A17" s="1" t="s">
        <v>15</v>
      </c>
      <c r="B17" s="5">
        <v>0</v>
      </c>
      <c r="C17" s="5">
        <v>0.95100149789999999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f t="shared" si="0"/>
        <v>0.95100149789999999</v>
      </c>
    </row>
    <row r="18" spans="1:23" x14ac:dyDescent="0.15">
      <c r="A18" s="1" t="s">
        <v>16</v>
      </c>
      <c r="B18" s="5">
        <v>0</v>
      </c>
      <c r="C18" s="5">
        <v>0</v>
      </c>
      <c r="D18" s="5">
        <v>0</v>
      </c>
      <c r="E18" s="5">
        <f>(254765.8734+B29)/1000000</f>
        <v>0.26749955991000002</v>
      </c>
      <c r="F18" s="5">
        <f>(5033784.004+C29)/1000000</f>
        <v>5.0541126654799999</v>
      </c>
      <c r="G18" s="5">
        <f>(578585.5105+D29)/1000000</f>
        <v>2.0653646604999998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f t="shared" si="0"/>
        <v>7.3869768858900002</v>
      </c>
    </row>
    <row r="19" spans="1:23" x14ac:dyDescent="0.15">
      <c r="A19" s="1" t="s">
        <v>17</v>
      </c>
      <c r="B19" s="5">
        <v>0</v>
      </c>
      <c r="C19" s="5">
        <v>0</v>
      </c>
      <c r="D19" s="5">
        <v>0</v>
      </c>
      <c r="E19" s="5">
        <v>7.9138213919999992E-2</v>
      </c>
      <c r="F19" s="5">
        <v>0.49359015690000002</v>
      </c>
      <c r="G19" s="5">
        <v>3.5171018349999999E-5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f t="shared" si="0"/>
        <v>0.5727635418383501</v>
      </c>
    </row>
    <row r="20" spans="1:23" x14ac:dyDescent="0.15">
      <c r="A20" s="1" t="s">
        <v>18</v>
      </c>
      <c r="B20" s="5">
        <v>0</v>
      </c>
      <c r="C20" s="5">
        <v>0</v>
      </c>
      <c r="D20" s="5">
        <v>0</v>
      </c>
      <c r="E20" s="5">
        <v>5.741853248</v>
      </c>
      <c r="F20" s="5">
        <v>26.885652219999997</v>
      </c>
      <c r="G20" s="5">
        <v>4.4749894239999994</v>
      </c>
      <c r="H20" s="5">
        <v>1.6718800000000002E-3</v>
      </c>
      <c r="I20" s="5">
        <v>9.9748205510000005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f t="shared" si="0"/>
        <v>47.078987323</v>
      </c>
    </row>
    <row r="21" spans="1:23" x14ac:dyDescent="0.15">
      <c r="A21" s="1" t="s">
        <v>19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5.4080054000000004</v>
      </c>
      <c r="K21" s="5">
        <v>13.325139800000001</v>
      </c>
      <c r="L21" s="5">
        <v>2.2573129999999999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3.3717676940000003</v>
      </c>
      <c r="U21" s="5">
        <v>0</v>
      </c>
      <c r="V21" s="5">
        <v>0</v>
      </c>
      <c r="W21" s="5">
        <f t="shared" si="0"/>
        <v>24.362225894000002</v>
      </c>
    </row>
    <row r="22" spans="1:23" x14ac:dyDescent="0.15">
      <c r="A22" s="1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1.183510514</v>
      </c>
      <c r="V22" s="5">
        <v>0</v>
      </c>
      <c r="W22" s="5">
        <f t="shared" si="0"/>
        <v>1.183510514</v>
      </c>
    </row>
    <row r="23" spans="1:23" x14ac:dyDescent="0.15">
      <c r="A23" s="1" t="s">
        <v>21</v>
      </c>
      <c r="B23" s="5">
        <f>+SUM(B2:B22)</f>
        <v>30.801579827600001</v>
      </c>
      <c r="C23" s="5">
        <f t="shared" ref="C23:V23" si="4">+SUM(C2:C22)</f>
        <v>64.195393332799995</v>
      </c>
      <c r="D23" s="5">
        <f t="shared" si="4"/>
        <v>87.061031192299993</v>
      </c>
      <c r="E23" s="5">
        <f t="shared" si="4"/>
        <v>35.05236231432</v>
      </c>
      <c r="F23" s="5">
        <f t="shared" si="4"/>
        <v>97.701922258899998</v>
      </c>
      <c r="G23" s="5">
        <f t="shared" si="4"/>
        <v>94.365955084718337</v>
      </c>
      <c r="H23" s="5">
        <f t="shared" si="4"/>
        <v>34.133031370000005</v>
      </c>
      <c r="I23" s="5">
        <f t="shared" si="4"/>
        <v>54.113359241000005</v>
      </c>
      <c r="J23" s="5">
        <f t="shared" si="4"/>
        <v>71.237526367000015</v>
      </c>
      <c r="K23" s="5">
        <f t="shared" si="4"/>
        <v>36.953714519999998</v>
      </c>
      <c r="L23" s="5">
        <f t="shared" si="4"/>
        <v>18.84343309063</v>
      </c>
      <c r="M23" s="5">
        <f t="shared" si="4"/>
        <v>7.4808834300000004</v>
      </c>
      <c r="N23" s="5">
        <f t="shared" si="4"/>
        <v>5.5067667199999999</v>
      </c>
      <c r="O23" s="5">
        <f t="shared" si="4"/>
        <v>5.8828657</v>
      </c>
      <c r="P23" s="5">
        <f t="shared" si="4"/>
        <v>1.444853663</v>
      </c>
      <c r="Q23" s="5">
        <f t="shared" si="4"/>
        <v>0.95100149789999999</v>
      </c>
      <c r="R23" s="5">
        <f t="shared" si="4"/>
        <v>7.3869768860000002</v>
      </c>
      <c r="S23" s="5">
        <f t="shared" si="4"/>
        <v>0.5727635418</v>
      </c>
      <c r="T23" s="5">
        <f t="shared" si="4"/>
        <v>47.078987337999997</v>
      </c>
      <c r="U23" s="5">
        <f t="shared" si="4"/>
        <v>24.362225892099993</v>
      </c>
      <c r="V23" s="5">
        <f t="shared" si="4"/>
        <v>1.1835105142700002</v>
      </c>
      <c r="W23" s="5">
        <v>0</v>
      </c>
    </row>
    <row r="25" spans="1:23" x14ac:dyDescent="0.15">
      <c r="B25">
        <f t="array" ref="B25:V25">TRANSPOSE(W2:W22)</f>
        <v>30.801579823690002</v>
      </c>
      <c r="C25">
        <v>64.195393330520005</v>
      </c>
      <c r="D25">
        <v>87.061031183999987</v>
      </c>
      <c r="E25">
        <v>35.052362319850005</v>
      </c>
      <c r="F25">
        <v>97.701922261129994</v>
      </c>
      <c r="G25">
        <v>94.365955553320006</v>
      </c>
      <c r="H25">
        <v>34.133031377000002</v>
      </c>
      <c r="I25">
        <v>54.113359210999995</v>
      </c>
      <c r="J25">
        <v>71.237525944000012</v>
      </c>
      <c r="K25">
        <v>36.953714519999998</v>
      </c>
      <c r="L25">
        <v>18.843433088699999</v>
      </c>
      <c r="M25">
        <v>7.4808834299999996</v>
      </c>
      <c r="N25">
        <v>5.5067667199999999</v>
      </c>
      <c r="O25">
        <v>5.8828657</v>
      </c>
      <c r="P25">
        <v>1.4448536625000001</v>
      </c>
      <c r="Q25">
        <v>0.95100149789999999</v>
      </c>
      <c r="R25">
        <v>7.3869768858900002</v>
      </c>
      <c r="S25">
        <v>0.5727635418383501</v>
      </c>
      <c r="T25">
        <v>47.078987323</v>
      </c>
      <c r="U25">
        <v>24.362225894000002</v>
      </c>
      <c r="V25">
        <v>1.183510514</v>
      </c>
    </row>
    <row r="27" spans="1:23" x14ac:dyDescent="0.15">
      <c r="B27" s="2">
        <f>ROUND(B23-B25,1)</f>
        <v>0</v>
      </c>
      <c r="C27" s="2">
        <f t="shared" ref="C27:V27" si="5">ROUND(C23-C25,1)</f>
        <v>0</v>
      </c>
      <c r="D27" s="2">
        <f t="shared" si="5"/>
        <v>0</v>
      </c>
      <c r="E27" s="2">
        <f t="shared" si="5"/>
        <v>0</v>
      </c>
      <c r="F27" s="2">
        <f t="shared" si="5"/>
        <v>0</v>
      </c>
      <c r="G27" s="2">
        <f t="shared" si="5"/>
        <v>0</v>
      </c>
      <c r="H27" s="2">
        <f t="shared" si="5"/>
        <v>0</v>
      </c>
      <c r="I27" s="2">
        <f t="shared" si="5"/>
        <v>0</v>
      </c>
      <c r="J27" s="2">
        <f t="shared" si="5"/>
        <v>0</v>
      </c>
      <c r="K27" s="2">
        <f t="shared" si="5"/>
        <v>0</v>
      </c>
      <c r="L27" s="2">
        <f t="shared" si="5"/>
        <v>0</v>
      </c>
      <c r="M27" s="2">
        <f t="shared" si="5"/>
        <v>0</v>
      </c>
      <c r="N27" s="2">
        <f t="shared" si="5"/>
        <v>0</v>
      </c>
      <c r="O27" s="2">
        <f t="shared" si="5"/>
        <v>0</v>
      </c>
      <c r="P27" s="2">
        <f t="shared" si="5"/>
        <v>0</v>
      </c>
      <c r="Q27" s="2">
        <f t="shared" si="5"/>
        <v>0</v>
      </c>
      <c r="R27" s="2">
        <f t="shared" si="5"/>
        <v>0</v>
      </c>
      <c r="S27" s="2">
        <f t="shared" si="5"/>
        <v>0</v>
      </c>
      <c r="T27" s="2">
        <f t="shared" si="5"/>
        <v>0</v>
      </c>
      <c r="U27" s="2">
        <f t="shared" si="5"/>
        <v>0</v>
      </c>
      <c r="V27" s="2">
        <f t="shared" si="5"/>
        <v>0</v>
      </c>
    </row>
    <row r="29" spans="1:23" x14ac:dyDescent="0.15">
      <c r="A29" s="1" t="s">
        <v>16</v>
      </c>
      <c r="B29" s="5">
        <v>12733.68651</v>
      </c>
      <c r="C29" s="5">
        <v>20328.661479999999</v>
      </c>
      <c r="D29" s="5">
        <v>1486779.15</v>
      </c>
    </row>
    <row r="30" spans="1:23" x14ac:dyDescent="0.15">
      <c r="K30">
        <f>+K15/I11</f>
        <v>0.15030203489964825</v>
      </c>
    </row>
    <row r="31" spans="1:23" ht="22.5" x14ac:dyDescent="0.3">
      <c r="A31" s="12" t="s">
        <v>73</v>
      </c>
    </row>
    <row r="34" spans="2:2" x14ac:dyDescent="0.15">
      <c r="B34">
        <v>1000000</v>
      </c>
    </row>
    <row r="39" spans="2:2" x14ac:dyDescent="0.15">
      <c r="B39" t="s">
        <v>54</v>
      </c>
    </row>
  </sheetData>
  <conditionalFormatting sqref="B29:D29">
    <cfRule type="cellIs" dxfId="5" priority="1" operator="notEqual">
      <formula>0</formula>
    </cfRule>
  </conditionalFormatting>
  <conditionalFormatting sqref="B27:V27">
    <cfRule type="cellIs" dxfId="4" priority="3" operator="equal">
      <formula>0</formula>
    </cfRule>
  </conditionalFormatting>
  <conditionalFormatting sqref="B2:W23">
    <cfRule type="cellIs" dxfId="3" priority="2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5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S12" activeCellId="1" sqref="P12:Q12 S12"/>
    </sheetView>
  </sheetViews>
  <sheetFormatPr baseColWidth="10" defaultRowHeight="10.5" x14ac:dyDescent="0.15"/>
  <cols>
    <col min="2" max="2" width="12.5" bestFit="1" customWidth="1"/>
    <col min="5" max="5" width="12.5" bestFit="1" customWidth="1"/>
    <col min="8" max="8" width="12.5" bestFit="1" customWidth="1"/>
  </cols>
  <sheetData>
    <row r="1" spans="1:27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7" x14ac:dyDescent="0.15">
      <c r="A2" s="1" t="s">
        <v>0</v>
      </c>
      <c r="B2" s="5">
        <v>0</v>
      </c>
      <c r="C2" s="5">
        <v>0</v>
      </c>
      <c r="D2" s="5">
        <v>0</v>
      </c>
      <c r="E2" s="5">
        <v>28.80303928</v>
      </c>
      <c r="F2" s="5">
        <v>1.069724034</v>
      </c>
      <c r="G2" s="5">
        <v>0.94155019620000002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f>+SUM(B2:V2)</f>
        <v>30.814313510200002</v>
      </c>
      <c r="X2" t="s">
        <v>51</v>
      </c>
    </row>
    <row r="3" spans="1:27" x14ac:dyDescent="0.15">
      <c r="A3" s="1" t="s">
        <v>1</v>
      </c>
      <c r="B3" s="5">
        <v>0</v>
      </c>
      <c r="C3" s="5">
        <v>0</v>
      </c>
      <c r="D3" s="5">
        <v>0</v>
      </c>
      <c r="E3" s="5">
        <v>0.17356569899999999</v>
      </c>
      <c r="F3" s="5">
        <v>62.723730200000006</v>
      </c>
      <c r="G3" s="5">
        <v>1.318426093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f t="shared" ref="W3:W22" si="0">+SUM(B3:V3)</f>
        <v>64.215721992000013</v>
      </c>
      <c r="X3" t="s">
        <v>52</v>
      </c>
    </row>
    <row r="4" spans="1:27" x14ac:dyDescent="0.15">
      <c r="A4" s="1" t="s">
        <v>2</v>
      </c>
      <c r="B4" s="5">
        <v>0</v>
      </c>
      <c r="C4" s="5">
        <v>0</v>
      </c>
      <c r="D4" s="5">
        <v>0</v>
      </c>
      <c r="E4" s="5">
        <v>0</v>
      </c>
      <c r="F4" s="5">
        <v>1.495441644</v>
      </c>
      <c r="G4" s="5">
        <v>87.052368689999994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f t="shared" si="0"/>
        <v>88.54781033399999</v>
      </c>
    </row>
    <row r="5" spans="1:27" x14ac:dyDescent="0.15">
      <c r="A5" s="1" t="s">
        <v>3</v>
      </c>
      <c r="B5" s="5">
        <v>3.1605375580000001</v>
      </c>
      <c r="C5" s="5">
        <v>11.927984220000001</v>
      </c>
      <c r="D5" s="5">
        <v>0.16408898730000002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1.211591557</v>
      </c>
      <c r="K5" s="5">
        <v>0</v>
      </c>
      <c r="L5" s="5">
        <v>1.75329745E-2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18.405805440000002</v>
      </c>
      <c r="U5" s="5">
        <v>0.2579645881</v>
      </c>
      <c r="V5" s="5">
        <v>-9.3143005050000005E-2</v>
      </c>
      <c r="W5" s="5">
        <f t="shared" si="0"/>
        <v>35.052362319850005</v>
      </c>
      <c r="Y5">
        <f>+U5/U23+V5/U23</f>
        <v>6.7654566450534052E-3</v>
      </c>
      <c r="Z5">
        <f>+(U5+V5)/$U$23</f>
        <v>6.7654566450534043E-3</v>
      </c>
    </row>
    <row r="6" spans="1:27" x14ac:dyDescent="0.15">
      <c r="A6" s="1" t="s">
        <v>4</v>
      </c>
      <c r="B6" s="5">
        <v>6.9137747879999996</v>
      </c>
      <c r="C6" s="5">
        <v>22.11542081</v>
      </c>
      <c r="D6" s="5">
        <v>11.39658985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23.08991091</v>
      </c>
      <c r="K6" s="5">
        <v>0</v>
      </c>
      <c r="L6" s="5">
        <v>8.3720262130000001E-2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13.48988344</v>
      </c>
      <c r="U6" s="5">
        <v>19.344119329999998</v>
      </c>
      <c r="V6" s="5">
        <v>1.2685028710000001</v>
      </c>
      <c r="W6" s="5">
        <f t="shared" si="0"/>
        <v>97.701922261129994</v>
      </c>
      <c r="Z6">
        <f t="shared" ref="Z6:Z7" si="1">+(U6+V6)/$U$23</f>
        <v>0.84608944569732891</v>
      </c>
    </row>
    <row r="7" spans="1:27" x14ac:dyDescent="0.15">
      <c r="A7" s="1" t="s">
        <v>5</v>
      </c>
      <c r="B7" s="5">
        <v>4.4456911320000003</v>
      </c>
      <c r="C7" s="5">
        <v>10.25533388</v>
      </c>
      <c r="D7" s="5">
        <v>25.790391530000001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32.838168070000002</v>
      </c>
      <c r="K7" s="5">
        <v>0</v>
      </c>
      <c r="L7" s="5">
        <v>10.39411222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7.0574766129999995</v>
      </c>
      <c r="U7" s="5">
        <v>3.5766314599999998</v>
      </c>
      <c r="V7" s="5">
        <v>8.1506483200000004E-3</v>
      </c>
      <c r="W7" s="5">
        <f t="shared" si="0"/>
        <v>94.365955553320006</v>
      </c>
      <c r="Z7">
        <f t="shared" si="1"/>
        <v>0.1471450976687006</v>
      </c>
    </row>
    <row r="8" spans="1:27" x14ac:dyDescent="0.15">
      <c r="A8" s="1" t="s">
        <v>6</v>
      </c>
      <c r="B8" s="5">
        <v>2.9878268870000002</v>
      </c>
      <c r="C8" s="5">
        <v>7.1010807900000001</v>
      </c>
      <c r="D8" s="5">
        <v>24.0441237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f t="shared" si="0"/>
        <v>34.133031377000002</v>
      </c>
      <c r="Y8">
        <f>+B8/(B8+B9)</f>
        <v>0.18466653156596002</v>
      </c>
      <c r="Z8">
        <f t="shared" ref="Z8:AA8" si="2">+C8/(C8+C9)</f>
        <v>0.37979708933015854</v>
      </c>
      <c r="AA8">
        <f t="shared" si="2"/>
        <v>0.49457510070742422</v>
      </c>
    </row>
    <row r="9" spans="1:27" x14ac:dyDescent="0.15">
      <c r="A9" s="1" t="s">
        <v>7</v>
      </c>
      <c r="B9" s="5">
        <v>13.19175293</v>
      </c>
      <c r="C9" s="5">
        <v>11.59595768</v>
      </c>
      <c r="D9" s="5">
        <v>24.571594449999999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4.7540541509999992</v>
      </c>
      <c r="U9" s="5">
        <v>0</v>
      </c>
      <c r="V9" s="5">
        <v>0</v>
      </c>
      <c r="W9" s="5">
        <f t="shared" si="0"/>
        <v>54.113359210999995</v>
      </c>
      <c r="Y9">
        <f>1-Y8</f>
        <v>0.81533346843403998</v>
      </c>
      <c r="Z9">
        <f t="shared" ref="Z9:AA9" si="3">1-Z8</f>
        <v>0.62020291066984146</v>
      </c>
      <c r="AA9">
        <f t="shared" si="3"/>
        <v>0.50542489929257584</v>
      </c>
    </row>
    <row r="10" spans="1:27" x14ac:dyDescent="0.15">
      <c r="A10" s="1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34.131359490000001</v>
      </c>
      <c r="I10" s="5">
        <v>12.060735800000002</v>
      </c>
      <c r="J10" s="5">
        <v>0</v>
      </c>
      <c r="K10" s="5">
        <v>17.431284399999999</v>
      </c>
      <c r="L10" s="5">
        <v>2.1073795340000001</v>
      </c>
      <c r="M10" s="5">
        <v>0</v>
      </c>
      <c r="N10" s="5">
        <v>5.5067667199999999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f t="shared" si="0"/>
        <v>71.237525944000012</v>
      </c>
    </row>
    <row r="11" spans="1:27" x14ac:dyDescent="0.15">
      <c r="A11" s="1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31.096709390000001</v>
      </c>
      <c r="J11" s="5">
        <v>0</v>
      </c>
      <c r="K11" s="5">
        <v>0</v>
      </c>
      <c r="L11" s="5">
        <v>0</v>
      </c>
      <c r="M11" s="5">
        <v>5.8570051300000001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0"/>
        <v>36.953714519999998</v>
      </c>
    </row>
    <row r="12" spans="1:27" x14ac:dyDescent="0.15">
      <c r="A12" s="1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0.98109349999999995</v>
      </c>
      <c r="J12" s="5">
        <v>0</v>
      </c>
      <c r="K12" s="5">
        <v>0</v>
      </c>
      <c r="L12" s="5">
        <v>0</v>
      </c>
      <c r="M12" s="5">
        <v>1.6238783000000001</v>
      </c>
      <c r="N12" s="5">
        <v>0</v>
      </c>
      <c r="O12" s="5">
        <v>5.8828657</v>
      </c>
      <c r="P12" s="5">
        <v>1.444853663</v>
      </c>
      <c r="Q12" s="5">
        <v>0.95100149789999999</v>
      </c>
      <c r="R12" s="5">
        <v>7.3869768860000002</v>
      </c>
      <c r="S12" s="5">
        <v>0.5727635418</v>
      </c>
      <c r="T12" s="5">
        <v>0</v>
      </c>
      <c r="U12" s="5">
        <v>0</v>
      </c>
      <c r="V12" s="5">
        <v>0</v>
      </c>
      <c r="W12" s="5">
        <f t="shared" si="0"/>
        <v>18.843433088699999</v>
      </c>
    </row>
    <row r="13" spans="1:27" x14ac:dyDescent="0.15">
      <c r="A13" s="1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7.4808834299999996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f t="shared" si="0"/>
        <v>7.4808834299999996</v>
      </c>
    </row>
    <row r="14" spans="1:27" x14ac:dyDescent="0.15">
      <c r="A14" s="1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1.5233916200000002</v>
      </c>
      <c r="L14" s="5">
        <v>3.9833750999999999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f t="shared" si="0"/>
        <v>5.5067667199999999</v>
      </c>
    </row>
    <row r="15" spans="1:27" x14ac:dyDescent="0.15">
      <c r="A15" s="1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1.2089669999999999</v>
      </c>
      <c r="K15" s="5">
        <v>4.6738987000000005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f t="shared" si="0"/>
        <v>5.8828657</v>
      </c>
    </row>
    <row r="16" spans="1:27" x14ac:dyDescent="0.15">
      <c r="A16" s="1" t="s">
        <v>14</v>
      </c>
      <c r="B16" s="5">
        <v>0.10199653260000001</v>
      </c>
      <c r="C16" s="5">
        <v>0.2486144549</v>
      </c>
      <c r="D16" s="5">
        <v>1.0942426750000001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0"/>
        <v>1.4448536625000001</v>
      </c>
    </row>
    <row r="17" spans="1:23" x14ac:dyDescent="0.15">
      <c r="A17" s="1" t="s">
        <v>15</v>
      </c>
      <c r="B17" s="5">
        <v>0</v>
      </c>
      <c r="C17" s="5">
        <v>0.95100149789999999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f t="shared" si="0"/>
        <v>0.95100149789999999</v>
      </c>
    </row>
    <row r="18" spans="1:23" x14ac:dyDescent="0.15">
      <c r="A18" s="1" t="s">
        <v>16</v>
      </c>
      <c r="B18" s="5">
        <v>1.273368651E-2</v>
      </c>
      <c r="C18" s="5">
        <v>2.0328661479999999E-2</v>
      </c>
      <c r="D18" s="5">
        <v>1.4867791499999998</v>
      </c>
      <c r="E18" s="5">
        <v>0.25476587340000001</v>
      </c>
      <c r="F18" s="5">
        <v>5.0337840040000001</v>
      </c>
      <c r="G18" s="5">
        <v>0.57858551049999996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f t="shared" si="0"/>
        <v>7.3869768858900002</v>
      </c>
    </row>
    <row r="19" spans="1:23" x14ac:dyDescent="0.15">
      <c r="A19" s="1" t="s">
        <v>17</v>
      </c>
      <c r="B19" s="5">
        <v>0</v>
      </c>
      <c r="C19" s="5">
        <v>0</v>
      </c>
      <c r="D19" s="5">
        <v>0</v>
      </c>
      <c r="E19" s="5">
        <v>7.9138213919999992E-2</v>
      </c>
      <c r="F19" s="5">
        <v>0.49359015690000002</v>
      </c>
      <c r="G19" s="5">
        <v>3.5171018349999999E-5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f t="shared" si="0"/>
        <v>0.5727635418383501</v>
      </c>
    </row>
    <row r="20" spans="1:23" x14ac:dyDescent="0.15">
      <c r="A20" s="1" t="s">
        <v>18</v>
      </c>
      <c r="B20" s="5">
        <v>0</v>
      </c>
      <c r="C20" s="5">
        <v>0</v>
      </c>
      <c r="D20" s="5">
        <v>0</v>
      </c>
      <c r="E20" s="5">
        <v>5.741853248</v>
      </c>
      <c r="F20" s="5">
        <v>26.885652219999997</v>
      </c>
      <c r="G20" s="5">
        <v>4.4749894239999994</v>
      </c>
      <c r="H20" s="5">
        <v>1.6718800000000002E-3</v>
      </c>
      <c r="I20" s="5">
        <v>9.9748205510000005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f t="shared" si="0"/>
        <v>47.078987323</v>
      </c>
    </row>
    <row r="21" spans="1:23" x14ac:dyDescent="0.15">
      <c r="A21" s="1" t="s">
        <v>19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5.4080054000000004</v>
      </c>
      <c r="K21" s="5">
        <v>13.325139800000001</v>
      </c>
      <c r="L21" s="5">
        <v>2.2573129999999999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3.3717676940000003</v>
      </c>
      <c r="U21" s="5">
        <v>0</v>
      </c>
      <c r="V21" s="5">
        <v>0</v>
      </c>
      <c r="W21" s="5">
        <f t="shared" si="0"/>
        <v>24.362225894000002</v>
      </c>
    </row>
    <row r="22" spans="1:23" x14ac:dyDescent="0.15">
      <c r="A22" s="1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1.183510514</v>
      </c>
      <c r="V22" s="5">
        <v>0</v>
      </c>
      <c r="W22" s="5">
        <f t="shared" si="0"/>
        <v>1.183510514</v>
      </c>
    </row>
    <row r="23" spans="1:23" x14ac:dyDescent="0.15">
      <c r="A23" s="1" t="s">
        <v>21</v>
      </c>
      <c r="B23" s="5">
        <f>+SUM(B2:B22)</f>
        <v>30.814313514110001</v>
      </c>
      <c r="C23" s="5">
        <f t="shared" ref="C23:V23" si="4">+SUM(C2:C22)</f>
        <v>64.215721994279988</v>
      </c>
      <c r="D23" s="5">
        <f t="shared" si="4"/>
        <v>88.547810342299996</v>
      </c>
      <c r="E23" s="5">
        <f t="shared" si="4"/>
        <v>35.05236231432</v>
      </c>
      <c r="F23" s="5">
        <f t="shared" si="4"/>
        <v>97.701922258899998</v>
      </c>
      <c r="G23" s="5">
        <f t="shared" si="4"/>
        <v>94.365955084718351</v>
      </c>
      <c r="H23" s="5">
        <f t="shared" si="4"/>
        <v>34.133031370000005</v>
      </c>
      <c r="I23" s="5">
        <f t="shared" si="4"/>
        <v>54.113359241000005</v>
      </c>
      <c r="J23" s="5">
        <f t="shared" si="4"/>
        <v>71.237526367000015</v>
      </c>
      <c r="K23" s="5">
        <f t="shared" si="4"/>
        <v>36.953714520000005</v>
      </c>
      <c r="L23" s="5">
        <f t="shared" si="4"/>
        <v>18.84343309063</v>
      </c>
      <c r="M23" s="5">
        <f t="shared" si="4"/>
        <v>7.4808834300000004</v>
      </c>
      <c r="N23" s="5">
        <f t="shared" si="4"/>
        <v>5.5067667199999999</v>
      </c>
      <c r="O23" s="5">
        <f t="shared" si="4"/>
        <v>5.8828657</v>
      </c>
      <c r="P23" s="5">
        <f t="shared" si="4"/>
        <v>1.444853663</v>
      </c>
      <c r="Q23" s="5">
        <f t="shared" si="4"/>
        <v>0.95100149789999999</v>
      </c>
      <c r="R23" s="5">
        <f t="shared" si="4"/>
        <v>7.3869768860000002</v>
      </c>
      <c r="S23" s="5">
        <f t="shared" si="4"/>
        <v>0.5727635418</v>
      </c>
      <c r="T23" s="5">
        <f t="shared" si="4"/>
        <v>47.078987337999997</v>
      </c>
      <c r="U23" s="5">
        <f t="shared" si="4"/>
        <v>24.362225892099993</v>
      </c>
      <c r="V23" s="5">
        <f t="shared" si="4"/>
        <v>1.1835105142700002</v>
      </c>
      <c r="W23" s="5">
        <v>0</v>
      </c>
    </row>
    <row r="25" spans="1:23" x14ac:dyDescent="0.15">
      <c r="B25">
        <f t="array" ref="B25:V25">TRANSPOSE(W2:W22)</f>
        <v>30.814313510200002</v>
      </c>
      <c r="C25">
        <v>64.215721992000013</v>
      </c>
      <c r="D25">
        <v>88.54781033399999</v>
      </c>
      <c r="E25">
        <v>35.052362319850005</v>
      </c>
      <c r="F25">
        <v>97.701922261129994</v>
      </c>
      <c r="G25">
        <v>94.365955553320006</v>
      </c>
      <c r="H25">
        <v>34.133031377000002</v>
      </c>
      <c r="I25">
        <v>54.113359210999995</v>
      </c>
      <c r="J25">
        <v>71.237525944000012</v>
      </c>
      <c r="K25">
        <v>36.953714519999998</v>
      </c>
      <c r="L25">
        <v>18.843433088699999</v>
      </c>
      <c r="M25">
        <v>7.4808834299999996</v>
      </c>
      <c r="N25">
        <v>5.5067667199999999</v>
      </c>
      <c r="O25">
        <v>5.8828657</v>
      </c>
      <c r="P25">
        <v>1.4448536625000001</v>
      </c>
      <c r="Q25">
        <v>0.95100149789999999</v>
      </c>
      <c r="R25">
        <v>7.3869768858900002</v>
      </c>
      <c r="S25">
        <v>0.5727635418383501</v>
      </c>
      <c r="T25">
        <v>47.078987323</v>
      </c>
      <c r="U25">
        <v>24.362225894000002</v>
      </c>
      <c r="V25">
        <v>1.183510514</v>
      </c>
    </row>
    <row r="27" spans="1:23" x14ac:dyDescent="0.15">
      <c r="B27" s="2">
        <f>ROUND(B23-B25,1)</f>
        <v>0</v>
      </c>
      <c r="C27" s="2">
        <f t="shared" ref="C27:V27" si="5">ROUND(C23-C25,1)</f>
        <v>0</v>
      </c>
      <c r="D27" s="2">
        <f t="shared" si="5"/>
        <v>0</v>
      </c>
      <c r="E27" s="2">
        <f t="shared" si="5"/>
        <v>0</v>
      </c>
      <c r="F27" s="2">
        <f t="shared" si="5"/>
        <v>0</v>
      </c>
      <c r="G27" s="2">
        <f t="shared" si="5"/>
        <v>0</v>
      </c>
      <c r="H27" s="2">
        <f t="shared" si="5"/>
        <v>0</v>
      </c>
      <c r="I27" s="2">
        <f t="shared" si="5"/>
        <v>0</v>
      </c>
      <c r="J27" s="2">
        <f t="shared" si="5"/>
        <v>0</v>
      </c>
      <c r="K27" s="2">
        <f t="shared" si="5"/>
        <v>0</v>
      </c>
      <c r="L27" s="2">
        <f t="shared" si="5"/>
        <v>0</v>
      </c>
      <c r="M27" s="2">
        <f t="shared" si="5"/>
        <v>0</v>
      </c>
      <c r="N27" s="2">
        <f t="shared" si="5"/>
        <v>0</v>
      </c>
      <c r="O27" s="2">
        <f t="shared" si="5"/>
        <v>0</v>
      </c>
      <c r="P27" s="2">
        <f t="shared" si="5"/>
        <v>0</v>
      </c>
      <c r="Q27" s="2">
        <f t="shared" si="5"/>
        <v>0</v>
      </c>
      <c r="R27" s="2">
        <f t="shared" si="5"/>
        <v>0</v>
      </c>
      <c r="S27" s="2">
        <f t="shared" si="5"/>
        <v>0</v>
      </c>
      <c r="T27" s="2">
        <f t="shared" si="5"/>
        <v>0</v>
      </c>
      <c r="U27" s="2">
        <f t="shared" si="5"/>
        <v>0</v>
      </c>
      <c r="V27" s="2">
        <f t="shared" si="5"/>
        <v>0</v>
      </c>
    </row>
    <row r="29" spans="1:23" x14ac:dyDescent="0.15">
      <c r="E29" s="4">
        <f>+SUM(E2:E4)</f>
        <v>28.976604979000001</v>
      </c>
      <c r="F29" s="4">
        <f t="shared" ref="F29:G29" si="6">+SUM(F2:F4)</f>
        <v>65.288895878000005</v>
      </c>
      <c r="G29" s="4">
        <f t="shared" si="6"/>
        <v>89.312344979199992</v>
      </c>
      <c r="I29" t="s">
        <v>45</v>
      </c>
      <c r="J29" t="s">
        <v>47</v>
      </c>
      <c r="K29" t="s">
        <v>46</v>
      </c>
      <c r="P29" s="1" t="s">
        <v>3</v>
      </c>
      <c r="Q29" s="1" t="s">
        <v>4</v>
      </c>
      <c r="R29" s="1" t="s">
        <v>5</v>
      </c>
    </row>
    <row r="30" spans="1:23" x14ac:dyDescent="0.15">
      <c r="E30">
        <f>+E2/E$29</f>
        <v>0.99401014373057894</v>
      </c>
      <c r="F30">
        <f t="shared" ref="F30:G30" si="7">+F2/F$29</f>
        <v>1.6384471197045596E-2</v>
      </c>
      <c r="G30">
        <f t="shared" si="7"/>
        <v>1.0542217835835329E-2</v>
      </c>
      <c r="I30">
        <f>+$B$8*E30</f>
        <v>2.9699302333889586</v>
      </c>
      <c r="J30">
        <f>+$C$8*F30</f>
        <v>0.1163474536716488</v>
      </c>
      <c r="K30">
        <f>+$D$8*G30</f>
        <v>0.25347838971717096</v>
      </c>
      <c r="N30" s="1" t="s">
        <v>0</v>
      </c>
      <c r="O30" s="1" t="s">
        <v>3</v>
      </c>
      <c r="P30">
        <f>+E30*B5</f>
        <v>3.1416063922934732</v>
      </c>
      <c r="Q30">
        <f>+E30*B6</f>
        <v>6.8723622707407328</v>
      </c>
      <c r="R30">
        <f>+E30*B7</f>
        <v>4.4190620811010808</v>
      </c>
    </row>
    <row r="31" spans="1:23" x14ac:dyDescent="0.15">
      <c r="E31">
        <f t="shared" ref="E31:G32" si="8">+E3/E$29</f>
        <v>5.9898562694210367E-3</v>
      </c>
      <c r="F31">
        <f t="shared" si="8"/>
        <v>0.96071053670760009</v>
      </c>
      <c r="G31">
        <f t="shared" si="8"/>
        <v>1.4761969281033311E-2</v>
      </c>
      <c r="I31">
        <f t="shared" ref="I31:I32" si="9">+$B$8*E31</f>
        <v>1.7896653611041691E-2</v>
      </c>
      <c r="J31">
        <f t="shared" ref="J31:J32" si="10">+$C$8*F31</f>
        <v>6.8220831369649293</v>
      </c>
      <c r="K31">
        <f t="shared" ref="K31:K32" si="11">+$D$8*G31</f>
        <v>0.35493861544876498</v>
      </c>
      <c r="N31" s="1" t="s">
        <v>0</v>
      </c>
      <c r="O31" s="1" t="s">
        <v>4</v>
      </c>
      <c r="P31">
        <f>+E31*B5</f>
        <v>1.8931165706526955E-2</v>
      </c>
      <c r="Q31">
        <f>+E31*B6</f>
        <v>4.1412517259266896E-2</v>
      </c>
      <c r="R31">
        <f>+E31*B7</f>
        <v>2.6629050898919707E-2</v>
      </c>
    </row>
    <row r="32" spans="1:23" x14ac:dyDescent="0.15">
      <c r="E32">
        <f t="shared" si="8"/>
        <v>0</v>
      </c>
      <c r="F32">
        <f t="shared" si="8"/>
        <v>2.29049920953543E-2</v>
      </c>
      <c r="G32">
        <f t="shared" si="8"/>
        <v>0.97469581288313134</v>
      </c>
      <c r="I32">
        <f t="shared" si="9"/>
        <v>0</v>
      </c>
      <c r="J32">
        <f t="shared" si="10"/>
        <v>0.16265019936342226</v>
      </c>
      <c r="K32">
        <f t="shared" si="11"/>
        <v>23.435706694834064</v>
      </c>
      <c r="N32" s="1" t="s">
        <v>0</v>
      </c>
      <c r="O32" s="1" t="s">
        <v>5</v>
      </c>
      <c r="P32">
        <v>0</v>
      </c>
      <c r="Q32">
        <v>0</v>
      </c>
      <c r="R32">
        <v>0</v>
      </c>
    </row>
    <row r="33" spans="2:18" x14ac:dyDescent="0.15">
      <c r="N33" s="1" t="s">
        <v>1</v>
      </c>
      <c r="O33" s="1" t="s">
        <v>3</v>
      </c>
      <c r="P33">
        <f>+F30*C5</f>
        <v>0.1954337138914044</v>
      </c>
      <c r="Q33">
        <f>+F30*C6</f>
        <v>0.3623494752719878</v>
      </c>
      <c r="R33">
        <f>+F30*C7</f>
        <v>0.16802822257294586</v>
      </c>
    </row>
    <row r="34" spans="2:18" x14ac:dyDescent="0.15">
      <c r="B34" t="s">
        <v>22</v>
      </c>
      <c r="I34" t="s">
        <v>48</v>
      </c>
      <c r="J34" t="s">
        <v>49</v>
      </c>
      <c r="K34" t="s">
        <v>50</v>
      </c>
      <c r="N34" s="1" t="s">
        <v>1</v>
      </c>
      <c r="O34" s="1" t="s">
        <v>4</v>
      </c>
      <c r="P34">
        <f>+F31*C5</f>
        <v>11.459340121835986</v>
      </c>
      <c r="Q34">
        <f>+F31*C6</f>
        <v>21.246517795889527</v>
      </c>
      <c r="R34">
        <f>+F31*C7</f>
        <v>9.8524073159704351</v>
      </c>
    </row>
    <row r="35" spans="2:18" x14ac:dyDescent="0.15">
      <c r="B35" t="s">
        <v>28</v>
      </c>
      <c r="E35" s="6">
        <f>+E18/(E23-E18)</f>
        <v>7.3213641014702319E-3</v>
      </c>
      <c r="F35" s="6">
        <f t="shared" ref="F35:G35" si="12">+F18/(F23-F18)</f>
        <v>5.4320547480447838E-2</v>
      </c>
      <c r="G35" s="6">
        <f t="shared" si="12"/>
        <v>6.1691197133121227E-3</v>
      </c>
      <c r="I35">
        <f>+$B$9*E30</f>
        <v>13.112736226007586</v>
      </c>
      <c r="J35">
        <f>+$C$9*F30</f>
        <v>0.18999363461011967</v>
      </c>
      <c r="K35">
        <f>+$D$9*G30</f>
        <v>0.2590391012657024</v>
      </c>
      <c r="N35" s="1" t="s">
        <v>1</v>
      </c>
      <c r="O35" s="1" t="s">
        <v>5</v>
      </c>
      <c r="P35">
        <f>+F32*C5</f>
        <v>0.27321038427261085</v>
      </c>
      <c r="Q35">
        <f>+F32*C6</f>
        <v>0.50655353883848397</v>
      </c>
      <c r="R35">
        <f>+F32*C7</f>
        <v>0.23489834145661914</v>
      </c>
    </row>
    <row r="36" spans="2:18" x14ac:dyDescent="0.15">
      <c r="B36" t="s">
        <v>23</v>
      </c>
      <c r="I36">
        <f t="shared" ref="I36:I37" si="13">+$B$9*E31</f>
        <v>7.9016703992413825E-2</v>
      </c>
      <c r="J36">
        <f t="shared" ref="J36:J37" si="14">+$C$9*F31</f>
        <v>11.140358726391417</v>
      </c>
      <c r="K36">
        <f t="shared" ref="K36:K37" si="15">+$D$9*G31</f>
        <v>0.36272512245690858</v>
      </c>
      <c r="N36" s="1" t="s">
        <v>2</v>
      </c>
      <c r="O36" s="1" t="s">
        <v>3</v>
      </c>
      <c r="P36">
        <f>+G30*D5</f>
        <v>1.7298618485782171E-3</v>
      </c>
      <c r="Q36">
        <f>+G30*D6</f>
        <v>0.12014533278436988</v>
      </c>
      <c r="R36">
        <f>+G30*D7</f>
        <v>0.27188792558074243</v>
      </c>
    </row>
    <row r="37" spans="2:18" x14ac:dyDescent="0.15">
      <c r="B37" t="s">
        <v>24</v>
      </c>
      <c r="C37" t="s">
        <v>31</v>
      </c>
      <c r="D37" t="s">
        <v>32</v>
      </c>
      <c r="E37" t="s">
        <v>36</v>
      </c>
      <c r="G37" t="s">
        <v>35</v>
      </c>
      <c r="H37" t="s">
        <v>37</v>
      </c>
      <c r="I37">
        <f t="shared" si="13"/>
        <v>0</v>
      </c>
      <c r="J37">
        <f t="shared" si="14"/>
        <v>0.26560531899846296</v>
      </c>
      <c r="K37">
        <f t="shared" si="15"/>
        <v>23.949830226277388</v>
      </c>
      <c r="N37" s="1" t="s">
        <v>2</v>
      </c>
      <c r="O37" s="1" t="s">
        <v>4</v>
      </c>
      <c r="P37">
        <f>+G31*D5</f>
        <v>2.4222765898784652E-3</v>
      </c>
      <c r="Q37">
        <f>+G31*D6</f>
        <v>0.16823610927423602</v>
      </c>
      <c r="R37">
        <f>+G31*D7</f>
        <v>0.38071696751168171</v>
      </c>
    </row>
    <row r="38" spans="2:18" x14ac:dyDescent="0.15">
      <c r="B38" t="s">
        <v>25</v>
      </c>
      <c r="N38" s="1" t="s">
        <v>2</v>
      </c>
      <c r="O38" s="1" t="s">
        <v>5</v>
      </c>
      <c r="P38">
        <f>+G32*D5</f>
        <v>0.15993684886154333</v>
      </c>
      <c r="Q38">
        <f>+G32*D6</f>
        <v>11.108208407941394</v>
      </c>
      <c r="R38">
        <f>+G32*D7</f>
        <v>25.137786636907578</v>
      </c>
    </row>
    <row r="39" spans="2:18" x14ac:dyDescent="0.15">
      <c r="B39" t="s">
        <v>26</v>
      </c>
    </row>
    <row r="40" spans="2:18" x14ac:dyDescent="0.15">
      <c r="B40" t="s">
        <v>29</v>
      </c>
      <c r="H40">
        <f>+H23/(H23+I23)</f>
        <v>0.38679237908394731</v>
      </c>
      <c r="I40">
        <f>1-H40</f>
        <v>0.61320762091605263</v>
      </c>
      <c r="L40">
        <v>28</v>
      </c>
    </row>
    <row r="41" spans="2:18" x14ac:dyDescent="0.15">
      <c r="B41" t="s">
        <v>30</v>
      </c>
      <c r="C41" t="s">
        <v>33</v>
      </c>
      <c r="D41" t="s">
        <v>34</v>
      </c>
      <c r="L41">
        <f>+L40*0.8</f>
        <v>22.400000000000002</v>
      </c>
      <c r="N41" t="s">
        <v>43</v>
      </c>
      <c r="R41" s="7">
        <f>+R23-SUM(B18:D18)</f>
        <v>5.8671353880100003</v>
      </c>
    </row>
    <row r="42" spans="2:18" x14ac:dyDescent="0.15">
      <c r="B42" t="s">
        <v>27</v>
      </c>
      <c r="L42">
        <f>+L41*0.94</f>
        <v>21.056000000000001</v>
      </c>
    </row>
    <row r="43" spans="2:18" x14ac:dyDescent="0.15">
      <c r="N43" t="s">
        <v>44</v>
      </c>
    </row>
    <row r="44" spans="2:18" x14ac:dyDescent="0.15">
      <c r="B44" t="s">
        <v>38</v>
      </c>
    </row>
    <row r="45" spans="2:18" x14ac:dyDescent="0.15">
      <c r="C45" t="s">
        <v>39</v>
      </c>
    </row>
    <row r="46" spans="2:18" x14ac:dyDescent="0.15">
      <c r="C46" t="s">
        <v>40</v>
      </c>
    </row>
    <row r="49" spans="2:10" x14ac:dyDescent="0.15">
      <c r="B49" t="s">
        <v>41</v>
      </c>
    </row>
    <row r="50" spans="2:10" x14ac:dyDescent="0.15">
      <c r="B50" t="s">
        <v>42</v>
      </c>
      <c r="J50" s="2">
        <v>1000000</v>
      </c>
    </row>
    <row r="52" spans="2:10" x14ac:dyDescent="0.15">
      <c r="B52" s="3"/>
    </row>
    <row r="54" spans="2:10" x14ac:dyDescent="0.15">
      <c r="B54" s="4">
        <f>+SUM(B16:B18)</f>
        <v>0.11473021911</v>
      </c>
      <c r="C54" s="4">
        <f t="shared" ref="C54:D54" si="16">+SUM(C16:C18)</f>
        <v>1.2199446142799999</v>
      </c>
      <c r="D54" s="4">
        <f t="shared" si="16"/>
        <v>2.5810218249999997</v>
      </c>
    </row>
    <row r="55" spans="2:10" x14ac:dyDescent="0.15">
      <c r="B55">
        <f>+B54/(B23-B54)</f>
        <v>3.7371914142132986E-3</v>
      </c>
      <c r="C55">
        <f t="shared" ref="C55:D55" si="17">+C54/(C23-C54)</f>
        <v>1.9365498213016894E-2</v>
      </c>
      <c r="D55">
        <f t="shared" si="17"/>
        <v>3.0023476153009872E-2</v>
      </c>
    </row>
  </sheetData>
  <conditionalFormatting sqref="B27:V27">
    <cfRule type="cellIs" dxfId="2" priority="2" operator="equal">
      <formula>0</formula>
    </cfRule>
  </conditionalFormatting>
  <conditionalFormatting sqref="B2:W23">
    <cfRule type="cellIs" dxfId="1" priority="1" operator="notEqual">
      <formula>0</formula>
    </cfRule>
  </conditionalFormatting>
  <conditionalFormatting sqref="J50">
    <cfRule type="cellIs" dxfId="0" priority="5" operator="not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macro_sam_2008_simp_3</vt:lpstr>
      <vt:lpstr>macro_sam_2008__simp_1</vt:lpstr>
      <vt:lpstr>macro_sam_2008__simp_2</vt:lpstr>
      <vt:lpstr>macro_sam_2008__simp</vt:lpstr>
      <vt:lpstr>macro_sam_2008_v1</vt:lpstr>
      <vt:lpstr>macro_sam_2008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Henriquez Palacios</dc:creator>
  <cp:lastModifiedBy>Francisco Javier Henriquez Palacios</cp:lastModifiedBy>
  <dcterms:created xsi:type="dcterms:W3CDTF">2023-11-24T16:59:49Z</dcterms:created>
  <dcterms:modified xsi:type="dcterms:W3CDTF">2026-03-06T14:05:32Z</dcterms:modified>
</cp:coreProperties>
</file>