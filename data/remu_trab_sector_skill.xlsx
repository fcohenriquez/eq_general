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rancisco.henriquez\Mis documentos\proyectos\equilibrio_general\eq_general\data\"/>
    </mc:Choice>
  </mc:AlternateContent>
  <xr:revisionPtr revIDLastSave="0" documentId="13_ncr:9_{0B1BC839-4829-4B58-B409-8C6519C35D15}" xr6:coauthVersionLast="47" xr6:coauthVersionMax="47" xr10:uidLastSave="{00000000-0000-0000-0000-000000000000}"/>
  <bookViews>
    <workbookView xWindow="28680" yWindow="-120" windowWidth="19440" windowHeight="14880" xr2:uid="{ACFD43BE-8440-421E-AF42-B3519E77FA0E}"/>
  </bookViews>
  <sheets>
    <sheet name="remu_trab_sector_skill" sheetId="1" r:id="rId1"/>
  </sheets>
  <calcPr calcId="0"/>
</workbook>
</file>

<file path=xl/calcChain.xml><?xml version="1.0" encoding="utf-8"?>
<calcChain xmlns="http://schemas.openxmlformats.org/spreadsheetml/2006/main">
  <c r="L19" i="1" l="1"/>
  <c r="J19" i="1"/>
  <c r="G19" i="1"/>
  <c r="D19" i="1"/>
  <c r="M17" i="1"/>
  <c r="L17" i="1"/>
  <c r="K17" i="1"/>
  <c r="J17" i="1"/>
  <c r="I17" i="1"/>
  <c r="H17" i="1"/>
  <c r="G17" i="1"/>
  <c r="F17" i="1"/>
  <c r="E17" i="1"/>
  <c r="D17" i="1"/>
  <c r="C17" i="1"/>
  <c r="M16" i="1"/>
  <c r="L16" i="1"/>
  <c r="K16" i="1"/>
  <c r="J16" i="1"/>
  <c r="I16" i="1"/>
  <c r="H16" i="1"/>
  <c r="G16" i="1"/>
  <c r="F16" i="1"/>
  <c r="E16" i="1"/>
  <c r="D16" i="1"/>
  <c r="C16" i="1"/>
  <c r="M15" i="1"/>
  <c r="M19" i="1" s="1"/>
  <c r="L15" i="1"/>
  <c r="K15" i="1"/>
  <c r="K19" i="1" s="1"/>
  <c r="J15" i="1"/>
  <c r="I15" i="1"/>
  <c r="I19" i="1" s="1"/>
  <c r="H15" i="1"/>
  <c r="H19" i="1" s="1"/>
  <c r="G15" i="1"/>
  <c r="F15" i="1"/>
  <c r="F19" i="1" s="1"/>
  <c r="E15" i="1"/>
  <c r="E19" i="1" s="1"/>
  <c r="D15" i="1"/>
  <c r="C15" i="1"/>
  <c r="C19" i="1" s="1"/>
  <c r="B19" i="1"/>
  <c r="B17" i="1"/>
  <c r="B16" i="1"/>
  <c r="B15" i="1"/>
  <c r="B10" i="1"/>
  <c r="M8" i="1"/>
  <c r="L8" i="1"/>
  <c r="K8" i="1"/>
  <c r="J8" i="1"/>
  <c r="I8" i="1"/>
  <c r="H8" i="1"/>
  <c r="G8" i="1"/>
  <c r="F8" i="1"/>
  <c r="E8" i="1"/>
  <c r="D8" i="1"/>
  <c r="M7" i="1"/>
  <c r="L7" i="1"/>
  <c r="K7" i="1"/>
  <c r="J7" i="1"/>
  <c r="I7" i="1"/>
  <c r="H7" i="1"/>
  <c r="G7" i="1"/>
  <c r="F7" i="1"/>
  <c r="E7" i="1"/>
  <c r="D7" i="1"/>
  <c r="M6" i="1"/>
  <c r="L6" i="1"/>
  <c r="K6" i="1"/>
  <c r="J6" i="1"/>
  <c r="I6" i="1"/>
  <c r="H6" i="1"/>
  <c r="G6" i="1"/>
  <c r="F6" i="1"/>
  <c r="E6" i="1"/>
  <c r="D6" i="1"/>
  <c r="C8" i="1"/>
  <c r="C7" i="1"/>
  <c r="C6" i="1"/>
  <c r="B8" i="1"/>
  <c r="B7" i="1"/>
  <c r="B6" i="1"/>
</calcChain>
</file>

<file path=xl/sharedStrings.xml><?xml version="1.0" encoding="utf-8"?>
<sst xmlns="http://schemas.openxmlformats.org/spreadsheetml/2006/main" count="18" uniqueCount="18">
  <si>
    <t>skill</t>
  </si>
  <si>
    <t>01 agricultura</t>
  </si>
  <si>
    <t>02 mineria</t>
  </si>
  <si>
    <t>03 manufactura</t>
  </si>
  <si>
    <t>04 agua luz gas</t>
  </si>
  <si>
    <t>05 construccion</t>
  </si>
  <si>
    <t>06 comercio restaurantes hoteles</t>
  </si>
  <si>
    <t>07 transporte comunicacion</t>
  </si>
  <si>
    <t>08 intermediacion financiera</t>
  </si>
  <si>
    <t>09 inmobiliario</t>
  </si>
  <si>
    <t>10 servicios empresariales</t>
  </si>
  <si>
    <t>11 servicios personales</t>
  </si>
  <si>
    <t>12 administracion publica</t>
  </si>
  <si>
    <t>99 sin info</t>
  </si>
  <si>
    <t>No clasificado</t>
  </si>
  <si>
    <t>1 baja</t>
  </si>
  <si>
    <t>2 media</t>
  </si>
  <si>
    <t>3 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</si>
</sst>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8"/>
      <color theme="1"/>
      <name val="Tahoma"/>
      <family val="2"/>
    </font>
    <font>
      <sz val="8"/>
      <color theme="1"/>
      <name val="Tahoma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ahoma"/>
      <family val="2"/>
    </font>
    <font>
      <b/>
      <sz val="13"/>
      <color theme="3"/>
      <name val="Tahoma"/>
      <family val="2"/>
    </font>
    <font>
      <b/>
      <sz val="11"/>
      <color theme="3"/>
      <name val="Tahoma"/>
      <family val="2"/>
    </font>
    <font>
      <sz val="8"/>
      <color rgb="FF006100"/>
      <name val="Tahoma"/>
      <family val="2"/>
    </font>
    <font>
      <sz val="8"/>
      <color rgb="FF9C0006"/>
      <name val="Tahoma"/>
      <family val="2"/>
    </font>
    <font>
      <sz val="8"/>
      <color rgb="FF9C5700"/>
      <name val="Tahoma"/>
      <family val="2"/>
    </font>
    <font>
      <sz val="8"/>
      <color rgb="FF3F3F76"/>
      <name val="Tahoma"/>
      <family val="2"/>
    </font>
    <font>
      <b/>
      <sz val="8"/>
      <color rgb="FF3F3F3F"/>
      <name val="Tahoma"/>
      <family val="2"/>
    </font>
    <font>
      <b/>
      <sz val="8"/>
      <color rgb="FFFA7D00"/>
      <name val="Tahoma"/>
      <family val="2"/>
    </font>
    <font>
      <sz val="8"/>
      <color rgb="FFFA7D00"/>
      <name val="Tahoma"/>
      <family val="2"/>
    </font>
    <font>
      <b/>
      <sz val="8"/>
      <color theme="0"/>
      <name val="Tahoma"/>
      <family val="2"/>
    </font>
    <font>
      <sz val="8"/>
      <color rgb="FFFF0000"/>
      <name val="Tahoma"/>
      <family val="2"/>
    </font>
    <font>
      <i/>
      <sz val="8"/>
      <color rgb="FF7F7F7F"/>
      <name val="Tahoma"/>
      <family val="2"/>
    </font>
    <font>
      <b/>
      <sz val="8"/>
      <color theme="1"/>
      <name val="Tahoma"/>
      <family val="2"/>
    </font>
    <font>
      <sz val="8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3" fontId="0" fillId="0" borderId="0" xfId="0" applyNumberFormat="1"/>
    <xf numFmtId="0" fontId="0" fillId="0" borderId="10" xfId="0" applyBorder="1"/>
    <xf numFmtId="3" fontId="0" fillId="0" borderId="10" xfId="0" applyNumberFormat="1" applyBorder="1"/>
    <xf numFmtId="9" fontId="0" fillId="0" borderId="10" xfId="1" applyFont="1" applyBorder="1"/>
    <xf numFmtId="9" fontId="0" fillId="0" borderId="0" xfId="0" applyNumberForma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tas" xfId="16" builtinId="10" customBuiltin="1"/>
    <cellStyle name="Porcentaje" xfId="1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5AFEA-22DB-404D-A81A-FFF674F467A0}">
  <dimension ref="A1:O19"/>
  <sheetViews>
    <sheetView tabSelected="1" workbookViewId="0">
      <selection activeCell="B15" sqref="B15:M17"/>
    </sheetView>
  </sheetViews>
  <sheetFormatPr baseColWidth="10" defaultRowHeight="10.5" x14ac:dyDescent="0.15"/>
  <cols>
    <col min="2" max="2" width="12.1640625" bestFit="1" customWidth="1"/>
    <col min="3" max="3" width="9.33203125" bestFit="1" customWidth="1"/>
    <col min="4" max="4" width="13.83203125" bestFit="1" customWidth="1"/>
    <col min="5" max="6" width="13.6640625" bestFit="1" customWidth="1"/>
    <col min="7" max="7" width="28.33203125" bestFit="1" customWidth="1"/>
    <col min="8" max="8" width="23.5" bestFit="1" customWidth="1"/>
    <col min="9" max="9" width="23.83203125" bestFit="1" customWidth="1"/>
    <col min="10" max="10" width="12.33203125" bestFit="1" customWidth="1"/>
    <col min="11" max="11" width="22.33203125" bestFit="1" customWidth="1"/>
    <col min="12" max="12" width="19.83203125" bestFit="1" customWidth="1"/>
    <col min="13" max="13" width="21.1640625" bestFit="1" customWidth="1"/>
  </cols>
  <sheetData>
    <row r="1" spans="1:15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t="s">
        <v>13</v>
      </c>
      <c r="O1" t="s">
        <v>14</v>
      </c>
    </row>
    <row r="2" spans="1:15" x14ac:dyDescent="0.15">
      <c r="A2" s="2" t="s">
        <v>15</v>
      </c>
      <c r="B2" s="3">
        <v>1161.5336258519999</v>
      </c>
      <c r="C2" s="3">
        <v>97.597345512000004</v>
      </c>
      <c r="D2" s="3">
        <v>523.19203818000005</v>
      </c>
      <c r="E2" s="3">
        <v>74.991262031999995</v>
      </c>
      <c r="F2" s="3">
        <v>850.41662771999995</v>
      </c>
      <c r="G2" s="3">
        <v>1017.5944740480001</v>
      </c>
      <c r="H2" s="3">
        <v>322.12499531999998</v>
      </c>
      <c r="I2" s="3">
        <v>9.1171199999999999</v>
      </c>
      <c r="J2" s="3">
        <v>23.960135999999999</v>
      </c>
      <c r="K2" s="3">
        <v>242.80174035600001</v>
      </c>
      <c r="L2" s="3">
        <v>719.73207216000003</v>
      </c>
      <c r="M2" s="3">
        <v>136.27513148400001</v>
      </c>
      <c r="N2" s="1">
        <v>0.46548</v>
      </c>
      <c r="O2" s="1">
        <v>1.554</v>
      </c>
    </row>
    <row r="3" spans="1:15" x14ac:dyDescent="0.15">
      <c r="A3" s="2" t="s">
        <v>16</v>
      </c>
      <c r="B3" s="3">
        <v>1747.5574630680001</v>
      </c>
      <c r="C3" s="3">
        <v>1230.1951009080001</v>
      </c>
      <c r="D3" s="3">
        <v>3180.5533423679999</v>
      </c>
      <c r="E3" s="3">
        <v>366.61608672</v>
      </c>
      <c r="F3" s="3">
        <v>2803.1281200839999</v>
      </c>
      <c r="G3" s="3">
        <v>6397.9850830559999</v>
      </c>
      <c r="H3" s="3">
        <v>2785.293678816</v>
      </c>
      <c r="I3" s="3">
        <v>272.99933409599998</v>
      </c>
      <c r="J3" s="3">
        <v>174.01150799999999</v>
      </c>
      <c r="K3" s="3">
        <v>1431.9044975879999</v>
      </c>
      <c r="L3" s="3">
        <v>3641.304746844</v>
      </c>
      <c r="M3" s="3">
        <v>1082.2223747759999</v>
      </c>
      <c r="N3" s="1">
        <v>4.7016</v>
      </c>
      <c r="O3" s="1">
        <v>0</v>
      </c>
    </row>
    <row r="4" spans="1:15" x14ac:dyDescent="0.15">
      <c r="A4" s="2" t="s">
        <v>17</v>
      </c>
      <c r="B4" s="3">
        <v>1407.7807606199999</v>
      </c>
      <c r="C4" s="3">
        <v>3059.0099626800002</v>
      </c>
      <c r="D4" s="3">
        <v>4610.4055723800002</v>
      </c>
      <c r="E4" s="3">
        <v>1172.2618844159999</v>
      </c>
      <c r="F4" s="3">
        <v>3096.9790921200001</v>
      </c>
      <c r="G4" s="3">
        <v>8586.6421463759998</v>
      </c>
      <c r="H4" s="3">
        <v>5873.0543614440003</v>
      </c>
      <c r="I4" s="3">
        <v>3801.0494120160001</v>
      </c>
      <c r="J4" s="3">
        <v>899.325740064</v>
      </c>
      <c r="K4" s="3">
        <v>6970.4227059479999</v>
      </c>
      <c r="L4" s="3">
        <v>18865.382111604002</v>
      </c>
      <c r="M4" s="3">
        <v>6093.3415355999996</v>
      </c>
      <c r="N4" s="1">
        <v>20.794799999999999</v>
      </c>
      <c r="O4" s="1">
        <v>73.370112000000006</v>
      </c>
    </row>
    <row r="5" spans="1:15" x14ac:dyDescent="0.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5" x14ac:dyDescent="0.15">
      <c r="B6" s="4">
        <f>+B2/SUM(B$2:B$4)</f>
        <v>0.26906835929720069</v>
      </c>
      <c r="C6" s="4">
        <f>+C2/SUM(C$2:C$4)</f>
        <v>2.2247946547476968E-2</v>
      </c>
      <c r="D6" s="4">
        <f t="shared" ref="D6:M6" si="0">+D2/SUM(D$2:D$4)</f>
        <v>6.2927897405536892E-2</v>
      </c>
      <c r="E6" s="4">
        <f t="shared" si="0"/>
        <v>4.6466752380422624E-2</v>
      </c>
      <c r="F6" s="4">
        <f t="shared" si="0"/>
        <v>0.12597787192313276</v>
      </c>
      <c r="G6" s="4">
        <f t="shared" si="0"/>
        <v>6.3590824630726364E-2</v>
      </c>
      <c r="H6" s="4">
        <f t="shared" si="0"/>
        <v>3.5869490843496048E-2</v>
      </c>
      <c r="I6" s="4">
        <f t="shared" si="0"/>
        <v>2.2328556563589574E-3</v>
      </c>
      <c r="J6" s="4">
        <f t="shared" si="0"/>
        <v>2.1835590194574383E-2</v>
      </c>
      <c r="K6" s="4">
        <f t="shared" si="0"/>
        <v>2.8085381019972586E-2</v>
      </c>
      <c r="L6" s="4">
        <f t="shared" si="0"/>
        <v>3.0987647054429475E-2</v>
      </c>
      <c r="M6" s="4">
        <f t="shared" si="0"/>
        <v>1.8637600021530847E-2</v>
      </c>
    </row>
    <row r="7" spans="1:15" x14ac:dyDescent="0.15">
      <c r="B7" s="4">
        <f t="shared" ref="B7:C8" si="1">+B3/SUM(B$2:B$4)</f>
        <v>0.40482032452601469</v>
      </c>
      <c r="C7" s="4">
        <f t="shared" si="1"/>
        <v>0.28043093492336885</v>
      </c>
      <c r="D7" s="4">
        <f t="shared" ref="D7:M7" si="2">+D3/SUM(D$2:D$4)</f>
        <v>0.38254698048847691</v>
      </c>
      <c r="E7" s="4">
        <f t="shared" si="2"/>
        <v>0.22716591851765983</v>
      </c>
      <c r="F7" s="4">
        <f t="shared" si="2"/>
        <v>0.41524601446568016</v>
      </c>
      <c r="G7" s="4">
        <f t="shared" si="2"/>
        <v>0.39981855029946445</v>
      </c>
      <c r="H7" s="4">
        <f t="shared" si="2"/>
        <v>0.31014999630652673</v>
      </c>
      <c r="I7" s="4">
        <f t="shared" si="2"/>
        <v>6.6859721854980778E-2</v>
      </c>
      <c r="J7" s="4">
        <f t="shared" si="2"/>
        <v>0.1585819036180722</v>
      </c>
      <c r="K7" s="4">
        <f t="shared" si="2"/>
        <v>0.16563136384445445</v>
      </c>
      <c r="L7" s="4">
        <f t="shared" si="2"/>
        <v>0.15677426458735974</v>
      </c>
      <c r="M7" s="4">
        <f t="shared" si="2"/>
        <v>0.14800960040016173</v>
      </c>
    </row>
    <row r="8" spans="1:15" x14ac:dyDescent="0.15">
      <c r="B8" s="4">
        <f t="shared" si="1"/>
        <v>0.32611131617678463</v>
      </c>
      <c r="C8" s="4">
        <f t="shared" si="1"/>
        <v>0.69732111852915402</v>
      </c>
      <c r="D8" s="4">
        <f t="shared" ref="D8:M8" si="3">+D4/SUM(D$2:D$4)</f>
        <v>0.55452512210598603</v>
      </c>
      <c r="E8" s="4">
        <f t="shared" si="3"/>
        <v>0.72636732910191759</v>
      </c>
      <c r="F8" s="4">
        <f t="shared" si="3"/>
        <v>0.45877611361118714</v>
      </c>
      <c r="G8" s="4">
        <f t="shared" si="3"/>
        <v>0.53659062506980915</v>
      </c>
      <c r="H8" s="4">
        <f t="shared" si="3"/>
        <v>0.65398051284997727</v>
      </c>
      <c r="I8" s="4">
        <f t="shared" si="3"/>
        <v>0.93090742248866032</v>
      </c>
      <c r="J8" s="4">
        <f t="shared" si="3"/>
        <v>0.8195825061873534</v>
      </c>
      <c r="K8" s="4">
        <f t="shared" si="3"/>
        <v>0.80628325513557297</v>
      </c>
      <c r="L8" s="4">
        <f t="shared" si="3"/>
        <v>0.81223808835821087</v>
      </c>
      <c r="M8" s="4">
        <f t="shared" si="3"/>
        <v>0.83335279957830743</v>
      </c>
    </row>
    <row r="10" spans="1:15" x14ac:dyDescent="0.15">
      <c r="B10" s="5">
        <f>+SUM(B6:B8)</f>
        <v>1</v>
      </c>
    </row>
    <row r="13" spans="1:15" x14ac:dyDescent="0.15">
      <c r="B13">
        <v>2893.0653491394628</v>
      </c>
      <c r="C13">
        <v>4437.885430924809</v>
      </c>
      <c r="D13">
        <v>9505.3378410192636</v>
      </c>
      <c r="E13">
        <v>1614.6917839995731</v>
      </c>
      <c r="F13">
        <v>8801.0510542765041</v>
      </c>
      <c r="G13">
        <v>18792.051343692259</v>
      </c>
      <c r="H13">
        <v>9952.6583418929895</v>
      </c>
      <c r="I13">
        <v>6812.4050168123358</v>
      </c>
      <c r="J13">
        <v>789.76167920808825</v>
      </c>
      <c r="K13">
        <v>12636.260949649861</v>
      </c>
      <c r="L13">
        <v>27843.72856101186</v>
      </c>
      <c r="M13">
        <v>10522.66762576761</v>
      </c>
    </row>
    <row r="15" spans="1:15" x14ac:dyDescent="0.15">
      <c r="B15">
        <f>+B$13*B6</f>
        <v>778.43234683253831</v>
      </c>
      <c r="C15">
        <f t="shared" ref="C15:M15" si="4">+C$13*C6</f>
        <v>98.73383785104194</v>
      </c>
      <c r="D15">
        <f t="shared" si="4"/>
        <v>598.15092446462779</v>
      </c>
      <c r="E15">
        <f t="shared" si="4"/>
        <v>75.029483297811012</v>
      </c>
      <c r="F15">
        <f t="shared" si="4"/>
        <v>1108.7376825045978</v>
      </c>
      <c r="G15">
        <f t="shared" si="4"/>
        <v>1195.0020414483402</v>
      </c>
      <c r="H15">
        <f t="shared" si="4"/>
        <v>356.99678726297515</v>
      </c>
      <c r="I15">
        <f t="shared" si="4"/>
        <v>15.211117075197562</v>
      </c>
      <c r="J15">
        <f t="shared" si="4"/>
        <v>17.244912378566731</v>
      </c>
      <c r="K15">
        <f t="shared" si="4"/>
        <v>354.89420343871694</v>
      </c>
      <c r="L15">
        <f t="shared" si="4"/>
        <v>862.81163332797303</v>
      </c>
      <c r="M15">
        <f t="shared" si="4"/>
        <v>196.11727036856837</v>
      </c>
    </row>
    <row r="16" spans="1:15" x14ac:dyDescent="0.15">
      <c r="B16">
        <f t="shared" ref="B16:M17" si="5">+B$13*B7</f>
        <v>1171.1716535136054</v>
      </c>
      <c r="C16">
        <f t="shared" si="5"/>
        <v>1244.5203604770418</v>
      </c>
      <c r="D16">
        <f t="shared" si="5"/>
        <v>3636.2382896047775</v>
      </c>
      <c r="E16">
        <f t="shared" si="5"/>
        <v>366.80294223518177</v>
      </c>
      <c r="F16">
        <f t="shared" si="5"/>
        <v>3654.6013733972909</v>
      </c>
      <c r="G16">
        <f t="shared" si="5"/>
        <v>7513.4107253881421</v>
      </c>
      <c r="H16">
        <f t="shared" si="5"/>
        <v>3086.8169479782332</v>
      </c>
      <c r="I16">
        <f t="shared" si="5"/>
        <v>455.47550458754841</v>
      </c>
      <c r="J16">
        <f t="shared" si="5"/>
        <v>125.2419104934239</v>
      </c>
      <c r="K16">
        <f t="shared" si="5"/>
        <v>2092.9611349849279</v>
      </c>
      <c r="L16">
        <f t="shared" si="5"/>
        <v>4365.180068522699</v>
      </c>
      <c r="M16">
        <f t="shared" si="5"/>
        <v>1557.4558304335826</v>
      </c>
    </row>
    <row r="17" spans="2:13" x14ac:dyDescent="0.15">
      <c r="B17">
        <f t="shared" si="5"/>
        <v>943.46134879331919</v>
      </c>
      <c r="C17">
        <f t="shared" si="5"/>
        <v>3094.6312325967247</v>
      </c>
      <c r="D17">
        <f t="shared" si="5"/>
        <v>5270.9486269498566</v>
      </c>
      <c r="E17">
        <f t="shared" si="5"/>
        <v>1172.8593584665803</v>
      </c>
      <c r="F17">
        <f t="shared" si="5"/>
        <v>4037.7119983746156</v>
      </c>
      <c r="G17">
        <f t="shared" si="5"/>
        <v>10083.638576855776</v>
      </c>
      <c r="H17">
        <f t="shared" si="5"/>
        <v>6508.8446066517818</v>
      </c>
      <c r="I17">
        <f t="shared" si="5"/>
        <v>6341.7183951495899</v>
      </c>
      <c r="J17">
        <f t="shared" si="5"/>
        <v>647.27485633609763</v>
      </c>
      <c r="K17">
        <f t="shared" si="5"/>
        <v>10188.405611226217</v>
      </c>
      <c r="L17">
        <f t="shared" si="5"/>
        <v>22615.736859161192</v>
      </c>
      <c r="M17">
        <f t="shared" si="5"/>
        <v>8769.0945249654596</v>
      </c>
    </row>
    <row r="19" spans="2:13" x14ac:dyDescent="0.15">
      <c r="B19">
        <f>+SUM(B15:B17)-B13</f>
        <v>0</v>
      </c>
      <c r="C19">
        <f t="shared" ref="C19:M19" si="6">+SUM(C15:C17)-C13</f>
        <v>0</v>
      </c>
      <c r="D19">
        <f t="shared" si="6"/>
        <v>0</v>
      </c>
      <c r="E19">
        <f t="shared" si="6"/>
        <v>0</v>
      </c>
      <c r="F19">
        <f t="shared" si="6"/>
        <v>0</v>
      </c>
      <c r="G19">
        <f t="shared" si="6"/>
        <v>0</v>
      </c>
      <c r="H19">
        <f t="shared" si="6"/>
        <v>0</v>
      </c>
      <c r="I19">
        <f t="shared" si="6"/>
        <v>0</v>
      </c>
      <c r="J19">
        <f t="shared" si="6"/>
        <v>0</v>
      </c>
      <c r="K19">
        <f t="shared" si="6"/>
        <v>0</v>
      </c>
      <c r="L19">
        <f t="shared" si="6"/>
        <v>0</v>
      </c>
      <c r="M19">
        <f t="shared" si="6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remu_trab_sector_skill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Francisco Javier Henriquez Palacios</cp:lastModifiedBy>
  <dcterms:created xsi:type="dcterms:W3CDTF">2026-04-30T16:08:48Z</dcterms:created>
  <dcterms:modified xsi:type="dcterms:W3CDTF">2026-04-30T16:19:19Z</dcterms:modified>
</cp:coreProperties>
</file>